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irst" sheetId="5" r:id="rId1"/>
    <sheet name="Sheet2" sheetId="2" r:id="rId2"/>
    <sheet name="Second" sheetId="6" r:id="rId3"/>
    <sheet name="Sheet3" sheetId="3" r:id="rId4"/>
  </sheets>
  <calcPr calcId="124519"/>
</workbook>
</file>

<file path=xl/calcChain.xml><?xml version="1.0" encoding="utf-8"?>
<calcChain xmlns="http://schemas.openxmlformats.org/spreadsheetml/2006/main">
  <c r="G25" i="5"/>
  <c r="N30" i="6"/>
  <c r="Q30" s="1"/>
  <c r="G28"/>
  <c r="AB26"/>
  <c r="N26"/>
  <c r="O26" s="1"/>
  <c r="AB25"/>
  <c r="N25"/>
  <c r="O25" s="1"/>
  <c r="AB24"/>
  <c r="N24"/>
  <c r="O24" s="1"/>
  <c r="AB23"/>
  <c r="N23"/>
  <c r="O23" s="1"/>
  <c r="AB22"/>
  <c r="N22"/>
  <c r="O22" s="1"/>
  <c r="R22" s="1"/>
  <c r="W22" s="1"/>
  <c r="AB21"/>
  <c r="N21"/>
  <c r="O21" s="1"/>
  <c r="AB20"/>
  <c r="N20"/>
  <c r="O20" s="1"/>
  <c r="R20" s="1"/>
  <c r="W20" s="1"/>
  <c r="AB19"/>
  <c r="AB29" s="1"/>
  <c r="N19"/>
  <c r="O19" s="1"/>
  <c r="AB19" i="5"/>
  <c r="N19"/>
  <c r="O19" s="1"/>
  <c r="N26"/>
  <c r="Q26" s="1"/>
  <c r="R19" i="6" l="1"/>
  <c r="W19" s="1"/>
  <c r="R23"/>
  <c r="W23" s="1"/>
  <c r="R24"/>
  <c r="W24" s="1"/>
  <c r="U24"/>
  <c r="R25"/>
  <c r="W25" s="1"/>
  <c r="R26"/>
  <c r="W26" s="1"/>
  <c r="R21"/>
  <c r="W21" s="1"/>
  <c r="U20"/>
  <c r="U22"/>
  <c r="R19" i="5"/>
  <c r="W19" s="1"/>
  <c r="AB25"/>
  <c r="U26" i="6" l="1"/>
  <c r="E22"/>
  <c r="G22" s="1"/>
  <c r="Z22"/>
  <c r="E26"/>
  <c r="G26" s="1"/>
  <c r="Z26"/>
  <c r="E24"/>
  <c r="G24" s="1"/>
  <c r="Z24"/>
  <c r="E20"/>
  <c r="G20" s="1"/>
  <c r="Z20"/>
  <c r="W29"/>
  <c r="U21"/>
  <c r="U25"/>
  <c r="U23"/>
  <c r="U19"/>
  <c r="U19" i="5"/>
  <c r="W25"/>
  <c r="Z19" i="6" l="1"/>
  <c r="E19"/>
  <c r="G19" s="1"/>
  <c r="Z25"/>
  <c r="E25"/>
  <c r="G25" s="1"/>
  <c r="Z23"/>
  <c r="E23"/>
  <c r="G23" s="1"/>
  <c r="Z21"/>
  <c r="E21"/>
  <c r="G21" s="1"/>
  <c r="Z19" i="5"/>
  <c r="E19"/>
  <c r="G19" s="1"/>
  <c r="G27" l="1"/>
  <c r="G29" i="6"/>
  <c r="G26" i="5"/>
  <c r="G29" s="1"/>
  <c r="G31" i="6" l="1"/>
  <c r="G30"/>
  <c r="G33" s="1"/>
</calcChain>
</file>

<file path=xl/sharedStrings.xml><?xml version="1.0" encoding="utf-8"?>
<sst xmlns="http://schemas.openxmlformats.org/spreadsheetml/2006/main" count="141" uniqueCount="62">
  <si>
    <t>Sr.</t>
  </si>
  <si>
    <t>Code</t>
  </si>
  <si>
    <t>Item Description</t>
  </si>
  <si>
    <t>Qty.</t>
  </si>
  <si>
    <t>Unit Rate</t>
  </si>
  <si>
    <t>Amount</t>
  </si>
  <si>
    <t>No.</t>
  </si>
  <si>
    <t>(Nos.)</t>
  </si>
  <si>
    <t>(Rs.)</t>
  </si>
  <si>
    <t>Total</t>
  </si>
  <si>
    <t>GSTIN         : 29AKRPB0846N1ZN</t>
  </si>
  <si>
    <t>prashanth.utsav@gmail.com</t>
  </si>
  <si>
    <t>www.basavamart.com</t>
  </si>
  <si>
    <t>Transport</t>
  </si>
  <si>
    <r>
      <t>D</t>
    </r>
    <r>
      <rPr>
        <b/>
        <sz val="10"/>
        <color theme="0"/>
        <rFont val="Verdana"/>
        <family val="2"/>
      </rPr>
      <t>Delivery Address Consignee (Ship to)</t>
    </r>
  </si>
  <si>
    <t>Buyer (Bill to)</t>
  </si>
  <si>
    <t>Basava Mart</t>
  </si>
  <si>
    <t xml:space="preserve">GSTIN/ UIN                      </t>
  </si>
  <si>
    <t>State Name</t>
  </si>
  <si>
    <t>Karnataka, Code :29</t>
  </si>
  <si>
    <t>Phone         :  98441 92551</t>
  </si>
  <si>
    <t>Declaration</t>
  </si>
  <si>
    <t>We decLare that this invoice shows the actual price of the goods described and that all particulars are true and correct</t>
  </si>
  <si>
    <t>for Basava Mart</t>
  </si>
  <si>
    <t>Authorised Signatory</t>
  </si>
  <si>
    <t>SUBJECT TO KARNATAKA STATE JURISDICTION</t>
  </si>
  <si>
    <t>This is a Computer Generated Invoice</t>
  </si>
  <si>
    <t>Bank Details</t>
  </si>
  <si>
    <t>A/c Holder's Name : Basava Mart. 
ICICI Bank. Basaveshwarnagar Bangalore.
Current A/c NO: 230105001976. 
IFSC CODE : ICIC0002301.</t>
  </si>
  <si>
    <t>A/c Holder's Name : Basava Mart. 
Bank of Maharashtra. Rajajinagar Bangalore.
C.C &amp; L.C A/c NO: 60424170962. 
IFSC CODE : MAHB0001147.</t>
  </si>
  <si>
    <t>Customer Seal and Signature</t>
  </si>
  <si>
    <t>Round Off(+/-)</t>
  </si>
  <si>
    <t>Output CGST @ 9%</t>
  </si>
  <si>
    <t>Output SGST @ 9%</t>
  </si>
  <si>
    <t>Grand Total : only</t>
  </si>
  <si>
    <t>Real Profit</t>
  </si>
  <si>
    <t>Profit</t>
  </si>
  <si>
    <t>Discount</t>
  </si>
  <si>
    <t>Landing Price</t>
  </si>
  <si>
    <t>Each</t>
  </si>
  <si>
    <t>Newage</t>
  </si>
  <si>
    <t>Price List</t>
  </si>
  <si>
    <t xml:space="preserve">Sy No 97/98 Adur Village, Virgonagar PostBiderahalli Hobli, Bengaluru East Taluk Bangalore 560045 </t>
  </si>
  <si>
    <t>After adding</t>
  </si>
  <si>
    <t>FC</t>
  </si>
  <si>
    <t>VINYAS System TECHNOLOGIES PVT LTD</t>
  </si>
  <si>
    <t>No 147/2, 1st floor chalukya layout nagarwara 2nd cross blore 45</t>
  </si>
  <si>
    <t>29AAJCV7681A1ZZ</t>
  </si>
  <si>
    <t>25mm JHS Steel Tube Galv</t>
  </si>
  <si>
    <t>32mm JHS Steel Tube Galv</t>
  </si>
  <si>
    <t>40mm JHS Steel Tube Galv</t>
  </si>
  <si>
    <t>50mm JHS Steel Tube Galv</t>
  </si>
  <si>
    <t>65mm JHS Steel Tube Galv</t>
  </si>
  <si>
    <t>80mm JHS Steel Tube Galv</t>
  </si>
  <si>
    <t>100mm JHS Steel Tube Galv</t>
  </si>
  <si>
    <t>150mm JHS Steel Tube Galv</t>
  </si>
  <si>
    <t>Alarm valve 150mm with gong and trim</t>
  </si>
  <si>
    <t>Kenmetal</t>
  </si>
  <si>
    <t>Date           : 14/04/2026</t>
  </si>
  <si>
    <t>Bill No        : 89</t>
  </si>
  <si>
    <t>Bill No        : 8</t>
  </si>
  <si>
    <t>Date           : 29/04/2026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</si>
</sst>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64" formatCode="_(* #,##0_);_(* \(#,##0\);_(* &quot;-&quot;??_);_(@_)"/>
    <numFmt numFmtId="165" formatCode="_(* #,##0.00_);_(* \(#,##0.00\);_(* &quot;-&quot;??_);_(@_)"/>
    <numFmt numFmtId="166" formatCode="_ * #,##0_ ;_ * \-#,##0_ ;_ * &quot;-&quot;??_ ;_ @_ 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0"/>
      <name val="Calibri"/>
      <family val="2"/>
      <scheme val="minor"/>
    </font>
    <font>
      <b/>
      <sz val="10"/>
      <name val="Verdana"/>
      <family val="2"/>
    </font>
    <font>
      <sz val="1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b/>
      <sz val="12"/>
      <color rgb="FF000000"/>
      <name val="Calibri"/>
      <family val="2"/>
    </font>
    <font>
      <u/>
      <sz val="11"/>
      <color theme="1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  <scheme val="minor"/>
    </font>
    <font>
      <sz val="11"/>
      <color theme="10"/>
      <name val="Calibri"/>
      <family val="2"/>
    </font>
    <font>
      <b/>
      <sz val="10"/>
      <color theme="0"/>
      <name val="Verdana"/>
      <family val="2"/>
    </font>
    <font>
      <b/>
      <sz val="12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Verdana"/>
      <family val="2"/>
    </font>
    <font>
      <sz val="11"/>
      <color rgb="FFFF0000"/>
      <name val="Calibri"/>
      <family val="2"/>
      <scheme val="minor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27">
    <xf numFmtId="0" fontId="0" fillId="0" borderId="0" xfId="0"/>
    <xf numFmtId="0" fontId="6" fillId="0" borderId="0" xfId="0" applyFont="1" applyAlignment="1">
      <alignment horizontal="center" vertical="center"/>
    </xf>
    <xf numFmtId="0" fontId="0" fillId="2" borderId="0" xfId="0" applyFill="1"/>
    <xf numFmtId="0" fontId="3" fillId="0" borderId="2" xfId="0" applyFont="1" applyFill="1" applyBorder="1" applyAlignment="1">
      <alignment horizontal="left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165" fontId="12" fillId="2" borderId="10" xfId="1" applyNumberFormat="1" applyFont="1" applyFill="1" applyBorder="1" applyAlignment="1">
      <alignment horizontal="center" vertical="center" wrapText="1" shrinkToFit="1"/>
    </xf>
    <xf numFmtId="165" fontId="12" fillId="2" borderId="11" xfId="1" applyNumberFormat="1" applyFont="1" applyFill="1" applyBorder="1" applyAlignment="1">
      <alignment horizontal="center" vertical="center" wrapText="1" shrinkToFit="1"/>
    </xf>
    <xf numFmtId="164" fontId="10" fillId="3" borderId="20" xfId="1" applyNumberFormat="1" applyFont="1" applyFill="1" applyBorder="1" applyAlignment="1">
      <alignment horizontal="center" vertical="center" wrapText="1" shrinkToFit="1"/>
    </xf>
    <xf numFmtId="0" fontId="13" fillId="0" borderId="15" xfId="0" applyFont="1" applyBorder="1" applyAlignment="1">
      <alignment horizontal="center" vertical="center"/>
    </xf>
    <xf numFmtId="0" fontId="0" fillId="6" borderId="0" xfId="0" applyFill="1"/>
    <xf numFmtId="9" fontId="0" fillId="0" borderId="0" xfId="0" applyNumberFormat="1"/>
    <xf numFmtId="0" fontId="9" fillId="0" borderId="24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 shrinkToFit="1"/>
    </xf>
    <xf numFmtId="164" fontId="8" fillId="0" borderId="1" xfId="1" applyNumberFormat="1" applyFont="1" applyFill="1" applyBorder="1" applyAlignment="1">
      <alignment horizontal="center" vertical="center" shrinkToFit="1"/>
    </xf>
    <xf numFmtId="9" fontId="6" fillId="0" borderId="0" xfId="0" applyNumberFormat="1" applyFont="1" applyAlignment="1">
      <alignment horizontal="center" vertical="center"/>
    </xf>
    <xf numFmtId="0" fontId="0" fillId="0" borderId="0" xfId="0" applyNumberFormat="1"/>
    <xf numFmtId="164" fontId="0" fillId="0" borderId="0" xfId="0" applyNumberFormat="1"/>
    <xf numFmtId="1" fontId="0" fillId="0" borderId="0" xfId="0" applyNumberFormat="1"/>
    <xf numFmtId="43" fontId="0" fillId="7" borderId="0" xfId="1" applyFont="1" applyFill="1"/>
    <xf numFmtId="0" fontId="21" fillId="0" borderId="0" xfId="0" applyFont="1"/>
    <xf numFmtId="0" fontId="21" fillId="2" borderId="0" xfId="0" applyFont="1" applyFill="1"/>
    <xf numFmtId="43" fontId="21" fillId="7" borderId="0" xfId="1" applyFont="1" applyFill="1"/>
    <xf numFmtId="0" fontId="21" fillId="6" borderId="0" xfId="0" applyFont="1" applyFill="1"/>
    <xf numFmtId="43" fontId="21" fillId="0" borderId="0" xfId="0" applyNumberFormat="1" applyFont="1"/>
    <xf numFmtId="43" fontId="0" fillId="0" borderId="0" xfId="0" applyNumberFormat="1"/>
    <xf numFmtId="166" fontId="0" fillId="0" borderId="0" xfId="0" applyNumberFormat="1"/>
    <xf numFmtId="10" fontId="6" fillId="0" borderId="0" xfId="0" applyNumberFormat="1" applyFont="1" applyAlignment="1">
      <alignment horizontal="center" vertical="center"/>
    </xf>
    <xf numFmtId="164" fontId="10" fillId="3" borderId="11" xfId="1" applyNumberFormat="1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23" fillId="2" borderId="15" xfId="3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1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8" borderId="0" xfId="0" applyFill="1"/>
    <xf numFmtId="0" fontId="6" fillId="8" borderId="0" xfId="0" applyFon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6" fontId="0" fillId="8" borderId="0" xfId="0" applyNumberFormat="1" applyFill="1"/>
    <xf numFmtId="1" fontId="0" fillId="8" borderId="0" xfId="0" applyNumberFormat="1" applyFill="1"/>
    <xf numFmtId="0" fontId="0" fillId="0" borderId="1" xfId="0" applyBorder="1"/>
    <xf numFmtId="0" fontId="13" fillId="0" borderId="1" xfId="0" applyFont="1" applyFill="1" applyBorder="1" applyAlignment="1">
      <alignment horizontal="left"/>
    </xf>
    <xf numFmtId="0" fontId="0" fillId="0" borderId="15" xfId="0" applyBorder="1"/>
    <xf numFmtId="0" fontId="0" fillId="0" borderId="16" xfId="0" applyBorder="1"/>
    <xf numFmtId="164" fontId="8" fillId="0" borderId="16" xfId="1" applyNumberFormat="1" applyFont="1" applyFill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0" fillId="6" borderId="8" xfId="0" applyFont="1" applyFill="1" applyBorder="1"/>
    <xf numFmtId="0" fontId="0" fillId="6" borderId="9" xfId="0" applyFont="1" applyFill="1" applyBorder="1"/>
    <xf numFmtId="0" fontId="0" fillId="6" borderId="31" xfId="0" applyFont="1" applyFill="1" applyBorder="1"/>
    <xf numFmtId="0" fontId="13" fillId="0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43" fontId="0" fillId="0" borderId="0" xfId="1" applyFont="1"/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4" borderId="15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3" fillId="0" borderId="16" xfId="0" applyFont="1" applyBorder="1" applyAlignment="1">
      <alignment horizontal="right" vertical="top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19" fillId="0" borderId="8" xfId="2" applyFont="1" applyFill="1" applyBorder="1" applyAlignment="1" applyProtection="1">
      <alignment horizontal="right" vertical="center" wrapText="1"/>
    </xf>
    <xf numFmtId="0" fontId="7" fillId="0" borderId="9" xfId="0" applyFont="1" applyFill="1" applyBorder="1" applyAlignment="1">
      <alignment horizontal="right" vertical="center" wrapText="1"/>
    </xf>
    <xf numFmtId="0" fontId="9" fillId="3" borderId="19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1" fillId="0" borderId="7" xfId="2" applyFill="1" applyBorder="1" applyAlignment="1" applyProtection="1">
      <alignment horizontal="right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3" fillId="0" borderId="15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6" xfId="0" applyFont="1" applyFill="1" applyBorder="1" applyAlignment="1">
      <alignment horizontal="left"/>
    </xf>
    <xf numFmtId="0" fontId="4" fillId="5" borderId="15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13" fillId="2" borderId="28" xfId="0" applyFont="1" applyFill="1" applyBorder="1" applyAlignment="1">
      <alignment horizontal="center" vertical="top" wrapText="1"/>
    </xf>
    <xf numFmtId="0" fontId="13" fillId="2" borderId="29" xfId="0" applyFont="1" applyFill="1" applyBorder="1" applyAlignment="1">
      <alignment horizontal="center" vertical="top" wrapText="1"/>
    </xf>
    <xf numFmtId="0" fontId="13" fillId="2" borderId="30" xfId="0" applyFont="1" applyFill="1" applyBorder="1" applyAlignment="1">
      <alignment horizontal="center" vertical="top" wrapText="1"/>
    </xf>
    <xf numFmtId="0" fontId="3" fillId="0" borderId="1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4" fillId="0" borderId="1" xfId="2" applyFont="1" applyFill="1" applyBorder="1" applyAlignment="1" applyProtection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center" wrapText="1"/>
    </xf>
    <xf numFmtId="0" fontId="2" fillId="0" borderId="13" xfId="0" applyFont="1" applyFill="1" applyBorder="1" applyAlignment="1">
      <alignment horizontal="center" wrapText="1"/>
    </xf>
    <xf numFmtId="0" fontId="2" fillId="0" borderId="15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0" fillId="0" borderId="13" xfId="0" applyFill="1" applyBorder="1" applyAlignment="1">
      <alignment horizontal="center" wrapText="1"/>
    </xf>
    <xf numFmtId="0" fontId="0" fillId="0" borderId="14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15" fillId="5" borderId="15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left"/>
    </xf>
    <xf numFmtId="0" fontId="16" fillId="0" borderId="1" xfId="0" applyFont="1" applyFill="1" applyBorder="1" applyAlignment="1">
      <alignment horizontal="left"/>
    </xf>
  </cellXfs>
  <cellStyles count="4">
    <cellStyle name="Comma" xfId="1" builtinId="3"/>
    <cellStyle name="Hyperlink" xfId="2" builtinId="8"/>
    <cellStyle name="Normal" xfId="0" builtinId="0"/>
    <cellStyle name="Normal 4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171453</xdr:rowOff>
    </xdr:from>
    <xdr:to>
      <xdr:col>1</xdr:col>
      <xdr:colOff>571500</xdr:colOff>
      <xdr:row>3</xdr:row>
      <xdr:rowOff>90800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6" y="171453"/>
          <a:ext cx="781049" cy="49084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942975</xdr:colOff>
      <xdr:row>15</xdr:row>
      <xdr:rowOff>0</xdr:rowOff>
    </xdr:from>
    <xdr:to>
      <xdr:col>2</xdr:col>
      <xdr:colOff>942975</xdr:colOff>
      <xdr:row>15</xdr:row>
      <xdr:rowOff>190500</xdr:rowOff>
    </xdr:to>
    <xdr:pic>
      <xdr:nvPicPr>
        <xdr:cNvPr id="3" name="image1.jpe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0225" y="3181350"/>
          <a:ext cx="0" cy="190500"/>
        </a:xfrm>
        <a:prstGeom prst="rect">
          <a:avLst/>
        </a:prstGeom>
      </xdr:spPr>
    </xdr:pic>
    <xdr:clientData/>
  </xdr:twoCellAnchor>
  <xdr:twoCellAnchor editAs="oneCell">
    <xdr:from>
      <xdr:col>2</xdr:col>
      <xdr:colOff>704850</xdr:colOff>
      <xdr:row>1</xdr:row>
      <xdr:rowOff>57151</xdr:rowOff>
    </xdr:from>
    <xdr:to>
      <xdr:col>2</xdr:col>
      <xdr:colOff>3756025</xdr:colOff>
      <xdr:row>4</xdr:row>
      <xdr:rowOff>9525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562100" y="247651"/>
          <a:ext cx="3051175" cy="52387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942975</xdr:colOff>
      <xdr:row>15</xdr:row>
      <xdr:rowOff>0</xdr:rowOff>
    </xdr:from>
    <xdr:to>
      <xdr:col>2</xdr:col>
      <xdr:colOff>942975</xdr:colOff>
      <xdr:row>15</xdr:row>
      <xdr:rowOff>190500</xdr:rowOff>
    </xdr:to>
    <xdr:pic>
      <xdr:nvPicPr>
        <xdr:cNvPr id="5" name="image1.jpe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0225" y="3181350"/>
          <a:ext cx="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171453</xdr:rowOff>
    </xdr:from>
    <xdr:to>
      <xdr:col>1</xdr:col>
      <xdr:colOff>571500</xdr:colOff>
      <xdr:row>3</xdr:row>
      <xdr:rowOff>90800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6" y="171453"/>
          <a:ext cx="781049" cy="49084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942975</xdr:colOff>
      <xdr:row>15</xdr:row>
      <xdr:rowOff>0</xdr:rowOff>
    </xdr:from>
    <xdr:to>
      <xdr:col>2</xdr:col>
      <xdr:colOff>942975</xdr:colOff>
      <xdr:row>15</xdr:row>
      <xdr:rowOff>190500</xdr:rowOff>
    </xdr:to>
    <xdr:pic>
      <xdr:nvPicPr>
        <xdr:cNvPr id="3" name="image1.jpe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0225" y="3181350"/>
          <a:ext cx="0" cy="190500"/>
        </a:xfrm>
        <a:prstGeom prst="rect">
          <a:avLst/>
        </a:prstGeom>
      </xdr:spPr>
    </xdr:pic>
    <xdr:clientData/>
  </xdr:twoCellAnchor>
  <xdr:twoCellAnchor editAs="oneCell">
    <xdr:from>
      <xdr:col>2</xdr:col>
      <xdr:colOff>704850</xdr:colOff>
      <xdr:row>1</xdr:row>
      <xdr:rowOff>57151</xdr:rowOff>
    </xdr:from>
    <xdr:to>
      <xdr:col>2</xdr:col>
      <xdr:colOff>3756025</xdr:colOff>
      <xdr:row>4</xdr:row>
      <xdr:rowOff>9525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562100" y="247651"/>
          <a:ext cx="3051175" cy="52387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942975</xdr:colOff>
      <xdr:row>15</xdr:row>
      <xdr:rowOff>0</xdr:rowOff>
    </xdr:from>
    <xdr:to>
      <xdr:col>2</xdr:col>
      <xdr:colOff>942975</xdr:colOff>
      <xdr:row>15</xdr:row>
      <xdr:rowOff>190500</xdr:rowOff>
    </xdr:to>
    <xdr:pic>
      <xdr:nvPicPr>
        <xdr:cNvPr id="5" name="image1.jpe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00225" y="3181350"/>
          <a:ext cx="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asavamart.com/" TargetMode="External"/><Relationship Id="rId1" Type="http://schemas.openxmlformats.org/officeDocument/2006/relationships/hyperlink" Target="mailto:prashanth.utsav@gmail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basavamart.com/" TargetMode="External"/><Relationship Id="rId1" Type="http://schemas.openxmlformats.org/officeDocument/2006/relationships/hyperlink" Target="mailto:prashanth.utsav@gmail.com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9"/>
  <sheetViews>
    <sheetView tabSelected="1" workbookViewId="0">
      <selection sqref="A1:B6"/>
    </sheetView>
  </sheetViews>
  <sheetFormatPr defaultRowHeight="15"/>
  <cols>
    <col min="1" max="1" width="3.85546875" bestFit="1" customWidth="1"/>
    <col min="2" max="2" width="9" bestFit="1" customWidth="1"/>
    <col min="3" max="3" width="57.140625" customWidth="1"/>
    <col min="4" max="4" width="10" customWidth="1"/>
    <col min="5" max="5" width="8.28515625" bestFit="1" customWidth="1"/>
    <col min="6" max="6" width="6" customWidth="1"/>
    <col min="7" max="7" width="14.85546875" customWidth="1"/>
    <col min="8" max="8" width="3.85546875" customWidth="1"/>
    <col min="9" max="9" width="11.5703125" hidden="1" customWidth="1"/>
    <col min="11" max="11" width="10" bestFit="1" customWidth="1"/>
    <col min="12" max="12" width="9.140625" style="46"/>
    <col min="15" max="15" width="10" bestFit="1" customWidth="1"/>
    <col min="18" max="18" width="11.5703125" style="25" bestFit="1" customWidth="1"/>
    <col min="20" max="21" width="10" bestFit="1" customWidth="1"/>
    <col min="23" max="23" width="9.140625" style="46"/>
    <col min="28" max="28" width="11.5703125" bestFit="1" customWidth="1"/>
  </cols>
  <sheetData>
    <row r="1" spans="1:23">
      <c r="A1" s="116"/>
      <c r="B1" s="117"/>
      <c r="C1" s="120"/>
      <c r="D1" s="120"/>
      <c r="E1" s="120"/>
      <c r="F1" s="120"/>
      <c r="G1" s="121"/>
    </row>
    <row r="2" spans="1:23">
      <c r="A2" s="118"/>
      <c r="B2" s="119"/>
      <c r="C2" s="122"/>
      <c r="D2" s="122"/>
      <c r="E2" s="122"/>
      <c r="F2" s="122"/>
      <c r="G2" s="123"/>
    </row>
    <row r="3" spans="1:23">
      <c r="A3" s="118"/>
      <c r="B3" s="119"/>
      <c r="C3" s="122"/>
      <c r="D3" s="122"/>
      <c r="E3" s="122"/>
      <c r="F3" s="122"/>
      <c r="G3" s="123"/>
    </row>
    <row r="4" spans="1:23">
      <c r="A4" s="118"/>
      <c r="B4" s="119"/>
      <c r="C4" s="122"/>
      <c r="D4" s="122"/>
      <c r="E4" s="122"/>
      <c r="F4" s="122"/>
      <c r="G4" s="123"/>
    </row>
    <row r="5" spans="1:23">
      <c r="A5" s="118"/>
      <c r="B5" s="119"/>
      <c r="C5" s="122"/>
      <c r="D5" s="122"/>
      <c r="E5" s="122"/>
      <c r="F5" s="122"/>
      <c r="G5" s="123"/>
    </row>
    <row r="6" spans="1:23">
      <c r="A6" s="118"/>
      <c r="B6" s="119"/>
      <c r="C6" s="122"/>
      <c r="D6" s="122"/>
      <c r="E6" s="122"/>
      <c r="F6" s="122"/>
      <c r="G6" s="123"/>
    </row>
    <row r="7" spans="1:23">
      <c r="A7" s="124" t="s">
        <v>15</v>
      </c>
      <c r="B7" s="97"/>
      <c r="C7" s="97"/>
      <c r="D7" s="94" t="s">
        <v>60</v>
      </c>
      <c r="E7" s="94"/>
      <c r="F7" s="94"/>
      <c r="G7" s="95"/>
    </row>
    <row r="8" spans="1:23" ht="15.75">
      <c r="A8" s="125" t="s">
        <v>45</v>
      </c>
      <c r="B8" s="126"/>
      <c r="C8" s="126"/>
      <c r="D8" s="94" t="s">
        <v>61</v>
      </c>
      <c r="E8" s="94"/>
      <c r="F8" s="94"/>
      <c r="G8" s="95"/>
    </row>
    <row r="9" spans="1:23">
      <c r="A9" s="111" t="s">
        <v>46</v>
      </c>
      <c r="B9" s="112"/>
      <c r="C9" s="112"/>
      <c r="D9" s="94" t="s">
        <v>10</v>
      </c>
      <c r="E9" s="94"/>
      <c r="F9" s="94"/>
      <c r="G9" s="95"/>
    </row>
    <row r="10" spans="1:23">
      <c r="A10" s="111"/>
      <c r="B10" s="112"/>
      <c r="C10" s="112"/>
      <c r="D10" s="113" t="s">
        <v>11</v>
      </c>
      <c r="E10" s="113"/>
      <c r="F10" s="114"/>
      <c r="G10" s="115"/>
    </row>
    <row r="11" spans="1:23">
      <c r="A11" s="92" t="s">
        <v>17</v>
      </c>
      <c r="B11" s="93"/>
      <c r="C11" s="61" t="s">
        <v>47</v>
      </c>
      <c r="D11" s="113" t="s">
        <v>12</v>
      </c>
      <c r="E11" s="113"/>
      <c r="F11" s="114"/>
      <c r="G11" s="115"/>
    </row>
    <row r="12" spans="1:23">
      <c r="A12" s="92" t="s">
        <v>18</v>
      </c>
      <c r="B12" s="93"/>
      <c r="C12" s="53" t="s">
        <v>19</v>
      </c>
      <c r="D12" s="94" t="s">
        <v>20</v>
      </c>
      <c r="E12" s="94"/>
      <c r="F12" s="94"/>
      <c r="G12" s="95"/>
    </row>
    <row r="13" spans="1:23">
      <c r="A13" s="96" t="s">
        <v>14</v>
      </c>
      <c r="B13" s="97"/>
      <c r="C13" s="97"/>
      <c r="D13" s="98" t="s">
        <v>16</v>
      </c>
      <c r="E13" s="98"/>
      <c r="F13" s="98"/>
      <c r="G13" s="99"/>
    </row>
    <row r="14" spans="1:23" s="2" customFormat="1" ht="41.25" customHeight="1">
      <c r="A14" s="100" t="s">
        <v>57</v>
      </c>
      <c r="B14" s="101"/>
      <c r="C14" s="101"/>
      <c r="D14" s="102" t="s">
        <v>42</v>
      </c>
      <c r="E14" s="103"/>
      <c r="F14" s="103"/>
      <c r="G14" s="104"/>
      <c r="L14" s="46"/>
      <c r="R14" s="26"/>
      <c r="W14" s="46"/>
    </row>
    <row r="15" spans="1:23" s="2" customFormat="1" ht="13.5" customHeight="1" thickBot="1">
      <c r="A15" s="105" t="s">
        <v>18</v>
      </c>
      <c r="B15" s="106"/>
      <c r="C15" s="3" t="s">
        <v>19</v>
      </c>
      <c r="D15" s="106" t="s">
        <v>18</v>
      </c>
      <c r="E15" s="106"/>
      <c r="F15" s="107" t="s">
        <v>19</v>
      </c>
      <c r="G15" s="108"/>
      <c r="L15" s="46"/>
      <c r="R15" s="26"/>
      <c r="W15" s="46"/>
    </row>
    <row r="16" spans="1:23" s="1" customFormat="1" ht="26.25" thickBot="1">
      <c r="A16" s="4" t="s">
        <v>0</v>
      </c>
      <c r="B16" s="5" t="s">
        <v>1</v>
      </c>
      <c r="C16" s="5" t="s">
        <v>2</v>
      </c>
      <c r="D16" s="5" t="s">
        <v>3</v>
      </c>
      <c r="E16" s="5" t="s">
        <v>4</v>
      </c>
      <c r="F16" s="5" t="s">
        <v>4</v>
      </c>
      <c r="G16" s="6" t="s">
        <v>5</v>
      </c>
      <c r="L16" s="47"/>
      <c r="Q16" s="1" t="s">
        <v>36</v>
      </c>
      <c r="W16" s="47" t="s">
        <v>35</v>
      </c>
    </row>
    <row r="17" spans="1:31" s="1" customFormat="1" ht="12.75">
      <c r="A17" s="13" t="s">
        <v>6</v>
      </c>
      <c r="B17" s="14" t="s">
        <v>6</v>
      </c>
      <c r="C17" s="14"/>
      <c r="D17" s="15" t="s">
        <v>7</v>
      </c>
      <c r="E17" s="13" t="s">
        <v>8</v>
      </c>
      <c r="F17" s="14" t="s">
        <v>6</v>
      </c>
      <c r="G17" s="16" t="s">
        <v>8</v>
      </c>
      <c r="L17" s="47" t="s">
        <v>41</v>
      </c>
      <c r="M17" s="20" t="s">
        <v>37</v>
      </c>
      <c r="O17" s="1" t="s">
        <v>38</v>
      </c>
      <c r="U17" s="1" t="s">
        <v>43</v>
      </c>
      <c r="W17" s="47"/>
      <c r="AB17" s="1" t="s">
        <v>40</v>
      </c>
    </row>
    <row r="18" spans="1:31">
      <c r="A18" s="54"/>
      <c r="B18" s="52"/>
      <c r="C18" s="52"/>
      <c r="D18" s="52"/>
      <c r="E18" s="52"/>
      <c r="F18" s="52"/>
      <c r="G18" s="55"/>
    </row>
    <row r="19" spans="1:31" ht="15.75">
      <c r="A19" s="35">
        <v>1</v>
      </c>
      <c r="B19" s="17">
        <v>84818030</v>
      </c>
      <c r="C19" s="36" t="s">
        <v>56</v>
      </c>
      <c r="D19" s="37">
        <v>1</v>
      </c>
      <c r="E19" s="19">
        <f t="shared" ref="E19" si="0">U19</f>
        <v>36720</v>
      </c>
      <c r="F19" s="38" t="s">
        <v>39</v>
      </c>
      <c r="G19" s="56">
        <f t="shared" ref="G19" si="1">D19*E19</f>
        <v>36720</v>
      </c>
      <c r="J19" s="40" t="s">
        <v>44</v>
      </c>
      <c r="K19" s="41"/>
      <c r="L19" s="49">
        <v>34000</v>
      </c>
      <c r="M19" s="42">
        <v>0</v>
      </c>
      <c r="N19" s="43">
        <f t="shared" ref="N19" si="2">L19*M19</f>
        <v>0</v>
      </c>
      <c r="O19" s="44">
        <f t="shared" ref="O19" si="3">L19-N19</f>
        <v>34000</v>
      </c>
      <c r="P19" s="44"/>
      <c r="Q19" s="32">
        <v>0.08</v>
      </c>
      <c r="R19" s="45">
        <f t="shared" ref="R19" si="4">O19*Q19</f>
        <v>2720</v>
      </c>
      <c r="S19" s="44"/>
      <c r="T19" s="40"/>
      <c r="U19" s="43">
        <f t="shared" ref="U19" si="5">O19+R19</f>
        <v>36720</v>
      </c>
      <c r="V19" s="40"/>
      <c r="W19" s="48">
        <f t="shared" ref="W19" si="6">R19*D19</f>
        <v>2720</v>
      </c>
      <c r="X19" s="40"/>
      <c r="Y19" s="42">
        <v>0.18</v>
      </c>
      <c r="Z19" s="44">
        <f t="shared" ref="Z19" si="7">U19*Y19</f>
        <v>6609.5999999999995</v>
      </c>
      <c r="AB19" s="63">
        <f t="shared" ref="AB19" si="8">L19*D19</f>
        <v>34000</v>
      </c>
      <c r="AE19" s="40"/>
    </row>
    <row r="20" spans="1:31" ht="15.75">
      <c r="A20" s="35">
        <v>2</v>
      </c>
      <c r="B20" s="17"/>
      <c r="C20" s="36"/>
      <c r="D20" s="37"/>
      <c r="E20" s="19"/>
      <c r="F20" s="38"/>
      <c r="G20" s="56"/>
      <c r="J20" s="40"/>
      <c r="K20" s="41"/>
      <c r="L20" s="49"/>
      <c r="M20" s="42"/>
      <c r="N20" s="43"/>
      <c r="O20" s="44"/>
      <c r="P20" s="44"/>
      <c r="Q20" s="32"/>
      <c r="R20" s="45"/>
      <c r="S20" s="44"/>
      <c r="T20" s="40"/>
      <c r="U20" s="43"/>
      <c r="V20" s="40"/>
      <c r="W20" s="48"/>
      <c r="X20" s="40"/>
      <c r="Y20" s="42"/>
      <c r="Z20" s="44"/>
      <c r="AB20" s="63"/>
      <c r="AE20" s="40"/>
    </row>
    <row r="21" spans="1:31" ht="15.75">
      <c r="A21" s="35">
        <v>3</v>
      </c>
      <c r="B21" s="17"/>
      <c r="C21" s="36"/>
      <c r="D21" s="37"/>
      <c r="E21" s="19"/>
      <c r="F21" s="38"/>
      <c r="G21" s="56"/>
      <c r="J21" s="40"/>
      <c r="K21" s="41"/>
      <c r="L21" s="49"/>
      <c r="M21" s="42"/>
      <c r="N21" s="43"/>
      <c r="O21" s="44"/>
      <c r="P21" s="44"/>
      <c r="Q21" s="32"/>
      <c r="R21" s="45"/>
      <c r="S21" s="44"/>
      <c r="T21" s="40"/>
      <c r="U21" s="43"/>
      <c r="V21" s="40"/>
      <c r="W21" s="48"/>
      <c r="X21" s="40"/>
      <c r="Y21" s="42"/>
      <c r="Z21" s="44"/>
      <c r="AB21" s="63"/>
      <c r="AE21" s="40"/>
    </row>
    <row r="22" spans="1:31" ht="15.75">
      <c r="A22" s="35">
        <v>4</v>
      </c>
      <c r="B22" s="17"/>
      <c r="C22" s="36"/>
      <c r="D22" s="37"/>
      <c r="E22" s="19"/>
      <c r="F22" s="38"/>
      <c r="G22" s="56"/>
      <c r="J22" s="40"/>
      <c r="K22" s="41"/>
      <c r="L22" s="49"/>
      <c r="M22" s="42"/>
      <c r="N22" s="43"/>
      <c r="O22" s="44"/>
      <c r="P22" s="44"/>
      <c r="Q22" s="32"/>
      <c r="R22" s="45"/>
      <c r="S22" s="44"/>
      <c r="T22" s="40"/>
      <c r="U22" s="43"/>
      <c r="V22" s="40"/>
      <c r="W22" s="48"/>
      <c r="X22" s="40"/>
      <c r="Y22" s="42"/>
      <c r="Z22" s="44"/>
      <c r="AB22" s="63"/>
      <c r="AE22" s="40"/>
    </row>
    <row r="23" spans="1:31" ht="15.75">
      <c r="A23" s="35"/>
      <c r="B23" s="17"/>
      <c r="C23" s="36"/>
      <c r="D23" s="37"/>
      <c r="E23" s="19"/>
      <c r="F23" s="38"/>
      <c r="G23" s="56"/>
      <c r="J23" s="40"/>
      <c r="K23" s="41"/>
      <c r="L23" s="49"/>
      <c r="M23" s="42"/>
      <c r="N23" s="43"/>
      <c r="O23" s="44"/>
      <c r="P23" s="44"/>
      <c r="Q23" s="32"/>
      <c r="R23" s="45"/>
      <c r="S23" s="44"/>
      <c r="T23" s="40"/>
      <c r="U23" s="43"/>
      <c r="V23" s="40"/>
      <c r="W23" s="48"/>
      <c r="X23" s="40"/>
      <c r="Y23" s="42"/>
      <c r="Z23" s="44"/>
      <c r="AB23" s="63"/>
    </row>
    <row r="24" spans="1:31">
      <c r="A24" s="57"/>
      <c r="B24" s="17">
        <v>996519</v>
      </c>
      <c r="C24" s="34" t="s">
        <v>13</v>
      </c>
      <c r="D24" s="18">
        <v>750</v>
      </c>
      <c r="E24" s="19">
        <v>0</v>
      </c>
      <c r="F24" s="19">
        <v>0</v>
      </c>
      <c r="G24" s="18">
        <v>750</v>
      </c>
      <c r="J24" s="12"/>
      <c r="K24" s="30"/>
      <c r="L24" s="50"/>
      <c r="M24" s="31"/>
      <c r="N24" s="32"/>
      <c r="O24" s="23"/>
      <c r="P24" s="31"/>
      <c r="R24" s="30"/>
      <c r="T24" s="23"/>
      <c r="AB24" s="63"/>
    </row>
    <row r="25" spans="1:31" ht="15.75">
      <c r="A25" s="109" t="s">
        <v>9</v>
      </c>
      <c r="B25" s="110"/>
      <c r="C25" s="110"/>
      <c r="D25" s="110"/>
      <c r="E25" s="110"/>
      <c r="F25" s="110"/>
      <c r="G25" s="33">
        <f>SUM(G19:G24)</f>
        <v>37470</v>
      </c>
      <c r="O25" s="24"/>
      <c r="R25" s="27"/>
      <c r="T25" s="27"/>
      <c r="W25" s="51">
        <f>SUM(W19:W24)</f>
        <v>2720</v>
      </c>
      <c r="AB25" s="63">
        <f>SUM(AB19:AB24)</f>
        <v>34000</v>
      </c>
    </row>
    <row r="26" spans="1:31" ht="15" customHeight="1">
      <c r="A26" s="90" t="s">
        <v>32</v>
      </c>
      <c r="B26" s="91"/>
      <c r="C26" s="91"/>
      <c r="D26" s="91"/>
      <c r="E26" s="91"/>
      <c r="F26" s="91"/>
      <c r="G26" s="8">
        <f>G25*9%</f>
        <v>3372.2999999999997</v>
      </c>
      <c r="J26" s="12"/>
      <c r="L26" s="46">
        <v>85</v>
      </c>
      <c r="M26">
        <v>15</v>
      </c>
      <c r="N26">
        <f>L26*M26</f>
        <v>1275</v>
      </c>
      <c r="P26">
        <v>3500</v>
      </c>
      <c r="Q26" s="21">
        <f>N26+P26</f>
        <v>4775</v>
      </c>
      <c r="R26" s="29"/>
    </row>
    <row r="27" spans="1:31">
      <c r="A27" s="90" t="s">
        <v>33</v>
      </c>
      <c r="B27" s="91"/>
      <c r="C27" s="91"/>
      <c r="D27" s="91"/>
      <c r="E27" s="91"/>
      <c r="F27" s="91"/>
      <c r="G27" s="8">
        <f>G25*9%</f>
        <v>3372.2999999999997</v>
      </c>
      <c r="J27" s="12"/>
      <c r="Q27" s="12"/>
      <c r="R27" s="29"/>
      <c r="S27" s="12"/>
      <c r="T27" s="30"/>
    </row>
    <row r="28" spans="1:31" ht="15" customHeight="1" thickBot="1">
      <c r="A28" s="82" t="s">
        <v>31</v>
      </c>
      <c r="B28" s="83"/>
      <c r="C28" s="83"/>
      <c r="D28" s="83"/>
      <c r="E28" s="83"/>
      <c r="F28" s="83"/>
      <c r="G28" s="7"/>
      <c r="H28" s="39"/>
    </row>
    <row r="29" spans="1:31" ht="15.75">
      <c r="A29" s="84" t="s">
        <v>34</v>
      </c>
      <c r="B29" s="85"/>
      <c r="C29" s="85"/>
      <c r="D29" s="85"/>
      <c r="E29" s="85"/>
      <c r="F29" s="85"/>
      <c r="G29" s="9">
        <f>G25+G26+G27</f>
        <v>44214.600000000006</v>
      </c>
      <c r="J29" s="21"/>
      <c r="M29" s="22"/>
      <c r="R29" s="9"/>
      <c r="T29" s="9"/>
    </row>
    <row r="30" spans="1:31" ht="14.25" customHeight="1">
      <c r="A30" s="86" t="s">
        <v>27</v>
      </c>
      <c r="B30" s="87"/>
      <c r="C30" s="87"/>
      <c r="D30" s="88" t="s">
        <v>21</v>
      </c>
      <c r="E30" s="88"/>
      <c r="F30" s="88"/>
      <c r="G30" s="89"/>
    </row>
    <row r="31" spans="1:31" ht="51.75" customHeight="1">
      <c r="A31" s="10">
        <v>1</v>
      </c>
      <c r="B31" s="67" t="s">
        <v>28</v>
      </c>
      <c r="C31" s="68"/>
      <c r="D31" s="69" t="s">
        <v>22</v>
      </c>
      <c r="E31" s="69"/>
      <c r="F31" s="69"/>
      <c r="G31" s="70"/>
      <c r="J31" s="12"/>
    </row>
    <row r="32" spans="1:31" ht="49.5" customHeight="1">
      <c r="A32" s="10">
        <v>2</v>
      </c>
      <c r="B32" s="67" t="s">
        <v>29</v>
      </c>
      <c r="C32" s="68"/>
      <c r="D32" s="69" t="s">
        <v>26</v>
      </c>
      <c r="E32" s="69"/>
      <c r="F32" s="69"/>
      <c r="G32" s="70"/>
    </row>
    <row r="33" spans="1:23">
      <c r="A33" s="71"/>
      <c r="B33" s="72"/>
      <c r="C33" s="72"/>
      <c r="D33" s="72"/>
      <c r="E33" s="72"/>
      <c r="F33" s="72"/>
      <c r="G33" s="73"/>
      <c r="J33" s="12"/>
    </row>
    <row r="34" spans="1:23">
      <c r="A34" s="74" t="s">
        <v>30</v>
      </c>
      <c r="B34" s="75"/>
      <c r="C34" s="75"/>
      <c r="D34" s="76" t="s">
        <v>23</v>
      </c>
      <c r="E34" s="76"/>
      <c r="F34" s="76"/>
      <c r="G34" s="77"/>
    </row>
    <row r="35" spans="1:23">
      <c r="A35" s="74"/>
      <c r="B35" s="75"/>
      <c r="C35" s="75"/>
      <c r="D35" s="76"/>
      <c r="E35" s="76"/>
      <c r="F35" s="76"/>
      <c r="G35" s="77"/>
    </row>
    <row r="36" spans="1:23">
      <c r="A36" s="74"/>
      <c r="B36" s="75"/>
      <c r="C36" s="75"/>
      <c r="D36" s="76"/>
      <c r="E36" s="76"/>
      <c r="F36" s="76"/>
      <c r="G36" s="77"/>
    </row>
    <row r="37" spans="1:23">
      <c r="A37" s="78"/>
      <c r="B37" s="79"/>
      <c r="C37" s="79"/>
      <c r="D37" s="80" t="s">
        <v>24</v>
      </c>
      <c r="E37" s="80"/>
      <c r="F37" s="80"/>
      <c r="G37" s="81"/>
    </row>
    <row r="38" spans="1:23" ht="15.75" thickBot="1">
      <c r="A38" s="64" t="s">
        <v>25</v>
      </c>
      <c r="B38" s="65"/>
      <c r="C38" s="65"/>
      <c r="D38" s="65"/>
      <c r="E38" s="65"/>
      <c r="F38" s="65"/>
      <c r="G38" s="66"/>
    </row>
    <row r="39" spans="1:23" s="11" customFormat="1" ht="15.75" thickBot="1">
      <c r="A39" s="58"/>
      <c r="B39" s="59"/>
      <c r="C39" s="59"/>
      <c r="D39" s="59"/>
      <c r="E39" s="59"/>
      <c r="F39" s="59"/>
      <c r="G39" s="60"/>
      <c r="L39" s="46"/>
      <c r="R39" s="28"/>
      <c r="W39" s="46"/>
    </row>
  </sheetData>
  <mergeCells count="38">
    <mergeCell ref="A1:B6"/>
    <mergeCell ref="C1:G6"/>
    <mergeCell ref="A7:C7"/>
    <mergeCell ref="D7:G7"/>
    <mergeCell ref="A8:C8"/>
    <mergeCell ref="D8:G8"/>
    <mergeCell ref="A9:C9"/>
    <mergeCell ref="D9:G9"/>
    <mergeCell ref="A10:C10"/>
    <mergeCell ref="D10:G10"/>
    <mergeCell ref="A11:B11"/>
    <mergeCell ref="D11:G11"/>
    <mergeCell ref="A27:F27"/>
    <mergeCell ref="A12:B12"/>
    <mergeCell ref="D12:G12"/>
    <mergeCell ref="A13:C13"/>
    <mergeCell ref="D13:G13"/>
    <mergeCell ref="A14:C14"/>
    <mergeCell ref="D14:G14"/>
    <mergeCell ref="A15:B15"/>
    <mergeCell ref="D15:E15"/>
    <mergeCell ref="F15:G15"/>
    <mergeCell ref="A25:F25"/>
    <mergeCell ref="A26:F26"/>
    <mergeCell ref="A28:F28"/>
    <mergeCell ref="A29:F29"/>
    <mergeCell ref="A30:C30"/>
    <mergeCell ref="D30:G30"/>
    <mergeCell ref="B31:C31"/>
    <mergeCell ref="D31:G31"/>
    <mergeCell ref="A38:G38"/>
    <mergeCell ref="B32:C32"/>
    <mergeCell ref="D32:G32"/>
    <mergeCell ref="A33:G33"/>
    <mergeCell ref="A34:C36"/>
    <mergeCell ref="D34:G36"/>
    <mergeCell ref="A37:C37"/>
    <mergeCell ref="D37:G37"/>
  </mergeCells>
  <hyperlinks>
    <hyperlink ref="D10" r:id="rId1"/>
    <hyperlink ref="D11" r:id="rId2"/>
  </hyperlinks>
  <pageMargins left="0.70866141732283472" right="0.70866141732283472" top="0.74803149606299213" bottom="0.74803149606299213" header="0.31496062992125984" footer="0.31496062992125984"/>
  <pageSetup paperSize="9" scale="72" fitToWidth="2" orientation="portrait" verticalDpi="0" r:id="rId3"/>
  <colBreaks count="1" manualBreakCount="1">
    <brk id="7" max="1048575" man="1"/>
  </col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2" sqref="B2"/>
    </sheetView>
  </sheetViews>
  <sheetFormatPr defaultRowHeight="15"/>
  <cols>
    <col min="2" max="2" width="34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43"/>
  <sheetViews>
    <sheetView topLeftCell="A25" workbookViewId="0">
      <selection activeCell="C26" sqref="C26"/>
    </sheetView>
  </sheetViews>
  <sheetFormatPr defaultRowHeight="15"/>
  <cols>
    <col min="1" max="1" width="3.85546875" bestFit="1" customWidth="1"/>
    <col min="2" max="2" width="9" bestFit="1" customWidth="1"/>
    <col min="3" max="3" width="57.140625" customWidth="1"/>
    <col min="4" max="4" width="10" customWidth="1"/>
    <col min="5" max="5" width="8.28515625" bestFit="1" customWidth="1"/>
    <col min="6" max="6" width="6" customWidth="1"/>
    <col min="7" max="7" width="14.85546875" customWidth="1"/>
    <col min="8" max="8" width="3.85546875" customWidth="1"/>
    <col min="9" max="9" width="11.5703125" hidden="1" customWidth="1"/>
    <col min="11" max="11" width="10" bestFit="1" customWidth="1"/>
    <col min="12" max="12" width="9.140625" style="46"/>
    <col min="15" max="15" width="10" bestFit="1" customWidth="1"/>
    <col min="18" max="18" width="11.5703125" style="25" bestFit="1" customWidth="1"/>
    <col min="20" max="21" width="10" bestFit="1" customWidth="1"/>
    <col min="23" max="23" width="9.140625" style="46"/>
    <col min="28" max="28" width="11.5703125" bestFit="1" customWidth="1"/>
  </cols>
  <sheetData>
    <row r="1" spans="1:23">
      <c r="A1" s="116"/>
      <c r="B1" s="117"/>
      <c r="C1" s="120"/>
      <c r="D1" s="120"/>
      <c r="E1" s="120"/>
      <c r="F1" s="120"/>
      <c r="G1" s="121"/>
    </row>
    <row r="2" spans="1:23">
      <c r="A2" s="118"/>
      <c r="B2" s="119"/>
      <c r="C2" s="122"/>
      <c r="D2" s="122"/>
      <c r="E2" s="122"/>
      <c r="F2" s="122"/>
      <c r="G2" s="123"/>
    </row>
    <row r="3" spans="1:23">
      <c r="A3" s="118"/>
      <c r="B3" s="119"/>
      <c r="C3" s="122"/>
      <c r="D3" s="122"/>
      <c r="E3" s="122"/>
      <c r="F3" s="122"/>
      <c r="G3" s="123"/>
    </row>
    <row r="4" spans="1:23">
      <c r="A4" s="118"/>
      <c r="B4" s="119"/>
      <c r="C4" s="122"/>
      <c r="D4" s="122"/>
      <c r="E4" s="122"/>
      <c r="F4" s="122"/>
      <c r="G4" s="123"/>
    </row>
    <row r="5" spans="1:23">
      <c r="A5" s="118"/>
      <c r="B5" s="119"/>
      <c r="C5" s="122"/>
      <c r="D5" s="122"/>
      <c r="E5" s="122"/>
      <c r="F5" s="122"/>
      <c r="G5" s="123"/>
    </row>
    <row r="6" spans="1:23">
      <c r="A6" s="118"/>
      <c r="B6" s="119"/>
      <c r="C6" s="122"/>
      <c r="D6" s="122"/>
      <c r="E6" s="122"/>
      <c r="F6" s="122"/>
      <c r="G6" s="123"/>
    </row>
    <row r="7" spans="1:23">
      <c r="A7" s="124" t="s">
        <v>15</v>
      </c>
      <c r="B7" s="97"/>
      <c r="C7" s="97"/>
      <c r="D7" s="94" t="s">
        <v>59</v>
      </c>
      <c r="E7" s="94"/>
      <c r="F7" s="94"/>
      <c r="G7" s="95"/>
    </row>
    <row r="8" spans="1:23" ht="15.75">
      <c r="A8" s="125" t="s">
        <v>45</v>
      </c>
      <c r="B8" s="126"/>
      <c r="C8" s="126"/>
      <c r="D8" s="94" t="s">
        <v>58</v>
      </c>
      <c r="E8" s="94"/>
      <c r="F8" s="94"/>
      <c r="G8" s="95"/>
    </row>
    <row r="9" spans="1:23">
      <c r="A9" s="111" t="s">
        <v>46</v>
      </c>
      <c r="B9" s="112"/>
      <c r="C9" s="112"/>
      <c r="D9" s="94" t="s">
        <v>10</v>
      </c>
      <c r="E9" s="94"/>
      <c r="F9" s="94"/>
      <c r="G9" s="95"/>
    </row>
    <row r="10" spans="1:23">
      <c r="A10" s="111"/>
      <c r="B10" s="112"/>
      <c r="C10" s="112"/>
      <c r="D10" s="113" t="s">
        <v>11</v>
      </c>
      <c r="E10" s="113"/>
      <c r="F10" s="114"/>
      <c r="G10" s="115"/>
    </row>
    <row r="11" spans="1:23">
      <c r="A11" s="92" t="s">
        <v>17</v>
      </c>
      <c r="B11" s="93"/>
      <c r="C11" s="62" t="s">
        <v>47</v>
      </c>
      <c r="D11" s="113" t="s">
        <v>12</v>
      </c>
      <c r="E11" s="113"/>
      <c r="F11" s="114"/>
      <c r="G11" s="115"/>
    </row>
    <row r="12" spans="1:23">
      <c r="A12" s="92" t="s">
        <v>18</v>
      </c>
      <c r="B12" s="93"/>
      <c r="C12" s="62" t="s">
        <v>19</v>
      </c>
      <c r="D12" s="94" t="s">
        <v>20</v>
      </c>
      <c r="E12" s="94"/>
      <c r="F12" s="94"/>
      <c r="G12" s="95"/>
    </row>
    <row r="13" spans="1:23">
      <c r="A13" s="96" t="s">
        <v>14</v>
      </c>
      <c r="B13" s="97"/>
      <c r="C13" s="97"/>
      <c r="D13" s="98" t="s">
        <v>16</v>
      </c>
      <c r="E13" s="98"/>
      <c r="F13" s="98"/>
      <c r="G13" s="99"/>
    </row>
    <row r="14" spans="1:23" s="2" customFormat="1" ht="41.25" customHeight="1">
      <c r="A14" s="100" t="s">
        <v>57</v>
      </c>
      <c r="B14" s="101"/>
      <c r="C14" s="101"/>
      <c r="D14" s="102" t="s">
        <v>42</v>
      </c>
      <c r="E14" s="103"/>
      <c r="F14" s="103"/>
      <c r="G14" s="104"/>
      <c r="L14" s="46"/>
      <c r="R14" s="26"/>
      <c r="W14" s="46"/>
    </row>
    <row r="15" spans="1:23" s="2" customFormat="1" ht="13.5" customHeight="1" thickBot="1">
      <c r="A15" s="105" t="s">
        <v>18</v>
      </c>
      <c r="B15" s="106"/>
      <c r="C15" s="3" t="s">
        <v>19</v>
      </c>
      <c r="D15" s="106" t="s">
        <v>18</v>
      </c>
      <c r="E15" s="106"/>
      <c r="F15" s="107" t="s">
        <v>19</v>
      </c>
      <c r="G15" s="108"/>
      <c r="L15" s="46"/>
      <c r="R15" s="26"/>
      <c r="W15" s="46"/>
    </row>
    <row r="16" spans="1:23" s="1" customFormat="1" ht="26.25" thickBot="1">
      <c r="A16" s="4" t="s">
        <v>0</v>
      </c>
      <c r="B16" s="5" t="s">
        <v>1</v>
      </c>
      <c r="C16" s="5" t="s">
        <v>2</v>
      </c>
      <c r="D16" s="5" t="s">
        <v>3</v>
      </c>
      <c r="E16" s="5" t="s">
        <v>4</v>
      </c>
      <c r="F16" s="5" t="s">
        <v>4</v>
      </c>
      <c r="G16" s="6" t="s">
        <v>5</v>
      </c>
      <c r="L16" s="47"/>
      <c r="Q16" s="1" t="s">
        <v>36</v>
      </c>
      <c r="W16" s="47" t="s">
        <v>35</v>
      </c>
    </row>
    <row r="17" spans="1:31" s="1" customFormat="1" ht="12.75">
      <c r="A17" s="13" t="s">
        <v>6</v>
      </c>
      <c r="B17" s="14" t="s">
        <v>6</v>
      </c>
      <c r="C17" s="14"/>
      <c r="D17" s="15" t="s">
        <v>7</v>
      </c>
      <c r="E17" s="13" t="s">
        <v>8</v>
      </c>
      <c r="F17" s="14" t="s">
        <v>6</v>
      </c>
      <c r="G17" s="16" t="s">
        <v>8</v>
      </c>
      <c r="L17" s="47" t="s">
        <v>41</v>
      </c>
      <c r="M17" s="20" t="s">
        <v>37</v>
      </c>
      <c r="O17" s="1" t="s">
        <v>38</v>
      </c>
      <c r="U17" s="1" t="s">
        <v>43</v>
      </c>
      <c r="W17" s="47"/>
      <c r="AB17" s="1" t="s">
        <v>40</v>
      </c>
    </row>
    <row r="18" spans="1:31">
      <c r="A18" s="54"/>
      <c r="B18" s="52"/>
      <c r="C18" s="52"/>
      <c r="D18" s="52"/>
      <c r="E18" s="52"/>
      <c r="F18" s="52"/>
      <c r="G18" s="55"/>
    </row>
    <row r="19" spans="1:31" ht="15.75">
      <c r="A19" s="35">
        <v>1</v>
      </c>
      <c r="B19" s="17">
        <v>73063090</v>
      </c>
      <c r="C19" s="36" t="s">
        <v>48</v>
      </c>
      <c r="D19" s="37">
        <v>97</v>
      </c>
      <c r="E19" s="19">
        <f t="shared" ref="E19:E26" si="0">U19</f>
        <v>1452.2024999999999</v>
      </c>
      <c r="F19" s="38" t="s">
        <v>39</v>
      </c>
      <c r="G19" s="56">
        <f t="shared" ref="G19:G26" si="1">D19*E19</f>
        <v>140863.64249999999</v>
      </c>
      <c r="J19" s="40" t="s">
        <v>44</v>
      </c>
      <c r="K19" s="41"/>
      <c r="L19" s="49">
        <v>1383.05</v>
      </c>
      <c r="M19" s="42">
        <v>0</v>
      </c>
      <c r="N19" s="43">
        <f t="shared" ref="N19:N26" si="2">L19*M19</f>
        <v>0</v>
      </c>
      <c r="O19" s="44">
        <f t="shared" ref="O19:O26" si="3">L19-N19</f>
        <v>1383.05</v>
      </c>
      <c r="P19" s="44"/>
      <c r="Q19" s="32">
        <v>0.05</v>
      </c>
      <c r="R19" s="45">
        <f t="shared" ref="R19:R26" si="4">O19*Q19</f>
        <v>69.152500000000003</v>
      </c>
      <c r="S19" s="44"/>
      <c r="T19" s="40"/>
      <c r="U19" s="43">
        <f t="shared" ref="U19:U26" si="5">O19+R19</f>
        <v>1452.2024999999999</v>
      </c>
      <c r="V19" s="40"/>
      <c r="W19" s="48">
        <f t="shared" ref="W19:W26" si="6">R19*D19</f>
        <v>6707.7925000000005</v>
      </c>
      <c r="X19" s="40"/>
      <c r="Y19" s="42">
        <v>0.18</v>
      </c>
      <c r="Z19" s="44">
        <f t="shared" ref="Z19:Z26" si="7">U19*Y19</f>
        <v>261.39644999999996</v>
      </c>
      <c r="AB19" s="63">
        <f t="shared" ref="AB19:AB26" si="8">L19*D19</f>
        <v>134155.85</v>
      </c>
    </row>
    <row r="20" spans="1:31" ht="15.75">
      <c r="A20" s="35">
        <v>2</v>
      </c>
      <c r="B20" s="17">
        <v>73063090</v>
      </c>
      <c r="C20" s="36" t="s">
        <v>49</v>
      </c>
      <c r="D20" s="37">
        <v>33</v>
      </c>
      <c r="E20" s="19">
        <f t="shared" si="0"/>
        <v>1849.953</v>
      </c>
      <c r="F20" s="38" t="s">
        <v>39</v>
      </c>
      <c r="G20" s="56">
        <f t="shared" si="1"/>
        <v>61048.449000000001</v>
      </c>
      <c r="J20" s="40" t="s">
        <v>44</v>
      </c>
      <c r="K20" s="41"/>
      <c r="L20" s="49">
        <v>1761.86</v>
      </c>
      <c r="M20" s="42">
        <v>0</v>
      </c>
      <c r="N20" s="43">
        <f t="shared" si="2"/>
        <v>0</v>
      </c>
      <c r="O20" s="44">
        <f t="shared" si="3"/>
        <v>1761.86</v>
      </c>
      <c r="P20" s="44"/>
      <c r="Q20" s="32">
        <v>0.05</v>
      </c>
      <c r="R20" s="45">
        <f t="shared" si="4"/>
        <v>88.093000000000004</v>
      </c>
      <c r="S20" s="44"/>
      <c r="T20" s="40"/>
      <c r="U20" s="43">
        <f t="shared" si="5"/>
        <v>1849.953</v>
      </c>
      <c r="V20" s="40"/>
      <c r="W20" s="48">
        <f t="shared" si="6"/>
        <v>2907.069</v>
      </c>
      <c r="X20" s="40"/>
      <c r="Y20" s="42">
        <v>0.18</v>
      </c>
      <c r="Z20" s="44">
        <f t="shared" si="7"/>
        <v>332.99153999999999</v>
      </c>
      <c r="AB20" s="63">
        <f t="shared" si="8"/>
        <v>58141.38</v>
      </c>
    </row>
    <row r="21" spans="1:31" ht="15.75">
      <c r="A21" s="35">
        <v>3</v>
      </c>
      <c r="B21" s="17">
        <v>73063090</v>
      </c>
      <c r="C21" s="36" t="s">
        <v>50</v>
      </c>
      <c r="D21" s="37">
        <v>20</v>
      </c>
      <c r="E21" s="19">
        <f t="shared" si="0"/>
        <v>2130.2505000000001</v>
      </c>
      <c r="F21" s="38" t="s">
        <v>39</v>
      </c>
      <c r="G21" s="56">
        <f t="shared" si="1"/>
        <v>42605.01</v>
      </c>
      <c r="J21" s="40" t="s">
        <v>44</v>
      </c>
      <c r="K21" s="41"/>
      <c r="L21" s="49">
        <v>2028.81</v>
      </c>
      <c r="M21" s="42">
        <v>0</v>
      </c>
      <c r="N21" s="43">
        <f t="shared" si="2"/>
        <v>0</v>
      </c>
      <c r="O21" s="44">
        <f t="shared" si="3"/>
        <v>2028.81</v>
      </c>
      <c r="P21" s="44"/>
      <c r="Q21" s="32">
        <v>0.05</v>
      </c>
      <c r="R21" s="45">
        <f t="shared" si="4"/>
        <v>101.4405</v>
      </c>
      <c r="S21" s="44"/>
      <c r="T21" s="40"/>
      <c r="U21" s="43">
        <f t="shared" si="5"/>
        <v>2130.2505000000001</v>
      </c>
      <c r="V21" s="40"/>
      <c r="W21" s="48">
        <f t="shared" si="6"/>
        <v>2028.81</v>
      </c>
      <c r="X21" s="40"/>
      <c r="Y21" s="42">
        <v>0.18</v>
      </c>
      <c r="Z21" s="44">
        <f t="shared" si="7"/>
        <v>383.44508999999999</v>
      </c>
      <c r="AB21" s="63">
        <f t="shared" si="8"/>
        <v>40576.199999999997</v>
      </c>
    </row>
    <row r="22" spans="1:31" ht="15.75">
      <c r="A22" s="35">
        <v>4</v>
      </c>
      <c r="B22" s="17">
        <v>73063090</v>
      </c>
      <c r="C22" s="36" t="s">
        <v>51</v>
      </c>
      <c r="D22" s="37">
        <v>6</v>
      </c>
      <c r="E22" s="19">
        <f t="shared" si="0"/>
        <v>3008.5124999999998</v>
      </c>
      <c r="F22" s="38" t="s">
        <v>39</v>
      </c>
      <c r="G22" s="56">
        <f t="shared" si="1"/>
        <v>18051.074999999997</v>
      </c>
      <c r="J22" s="40" t="s">
        <v>44</v>
      </c>
      <c r="K22" s="41"/>
      <c r="L22" s="49">
        <v>2865.25</v>
      </c>
      <c r="M22" s="42">
        <v>0</v>
      </c>
      <c r="N22" s="43">
        <f t="shared" si="2"/>
        <v>0</v>
      </c>
      <c r="O22" s="44">
        <f t="shared" si="3"/>
        <v>2865.25</v>
      </c>
      <c r="P22" s="44"/>
      <c r="Q22" s="32">
        <v>0.05</v>
      </c>
      <c r="R22" s="45">
        <f t="shared" si="4"/>
        <v>143.26250000000002</v>
      </c>
      <c r="S22" s="44"/>
      <c r="T22" s="40"/>
      <c r="U22" s="43">
        <f t="shared" si="5"/>
        <v>3008.5124999999998</v>
      </c>
      <c r="V22" s="40"/>
      <c r="W22" s="48">
        <f t="shared" si="6"/>
        <v>859.57500000000005</v>
      </c>
      <c r="X22" s="40"/>
      <c r="Y22" s="42">
        <v>0.18</v>
      </c>
      <c r="Z22" s="44">
        <f t="shared" si="7"/>
        <v>541.53224999999998</v>
      </c>
      <c r="AB22" s="63">
        <f t="shared" si="8"/>
        <v>17191.5</v>
      </c>
      <c r="AE22" s="40"/>
    </row>
    <row r="23" spans="1:31" ht="15.75">
      <c r="A23" s="35">
        <v>5</v>
      </c>
      <c r="B23" s="17">
        <v>73063090</v>
      </c>
      <c r="C23" s="36" t="s">
        <v>52</v>
      </c>
      <c r="D23" s="37">
        <v>3</v>
      </c>
      <c r="E23" s="19">
        <f t="shared" si="0"/>
        <v>3810.2505000000001</v>
      </c>
      <c r="F23" s="38" t="s">
        <v>39</v>
      </c>
      <c r="G23" s="56">
        <f t="shared" si="1"/>
        <v>11430.7515</v>
      </c>
      <c r="J23" s="40" t="s">
        <v>44</v>
      </c>
      <c r="K23" s="41"/>
      <c r="L23" s="49">
        <v>3628.81</v>
      </c>
      <c r="M23" s="42">
        <v>0</v>
      </c>
      <c r="N23" s="43">
        <f t="shared" si="2"/>
        <v>0</v>
      </c>
      <c r="O23" s="44">
        <f t="shared" si="3"/>
        <v>3628.81</v>
      </c>
      <c r="P23" s="44"/>
      <c r="Q23" s="32">
        <v>0.05</v>
      </c>
      <c r="R23" s="45">
        <f t="shared" si="4"/>
        <v>181.44050000000001</v>
      </c>
      <c r="S23" s="44"/>
      <c r="T23" s="40"/>
      <c r="U23" s="43">
        <f t="shared" si="5"/>
        <v>3810.2505000000001</v>
      </c>
      <c r="V23" s="40"/>
      <c r="W23" s="48">
        <f t="shared" si="6"/>
        <v>544.32150000000001</v>
      </c>
      <c r="X23" s="40"/>
      <c r="Y23" s="42">
        <v>0.18</v>
      </c>
      <c r="Z23" s="44">
        <f t="shared" si="7"/>
        <v>685.84509000000003</v>
      </c>
      <c r="AB23" s="63">
        <f t="shared" si="8"/>
        <v>10886.43</v>
      </c>
      <c r="AE23" s="40"/>
    </row>
    <row r="24" spans="1:31" ht="15.75">
      <c r="A24" s="35">
        <v>6</v>
      </c>
      <c r="B24" s="17">
        <v>73063090</v>
      </c>
      <c r="C24" s="36" t="s">
        <v>53</v>
      </c>
      <c r="D24" s="37">
        <v>3</v>
      </c>
      <c r="E24" s="19">
        <f t="shared" si="0"/>
        <v>4644.9164999999994</v>
      </c>
      <c r="F24" s="38" t="s">
        <v>39</v>
      </c>
      <c r="G24" s="56">
        <f t="shared" si="1"/>
        <v>13934.749499999998</v>
      </c>
      <c r="J24" s="40" t="s">
        <v>44</v>
      </c>
      <c r="K24" s="41"/>
      <c r="L24" s="49">
        <v>4423.7299999999996</v>
      </c>
      <c r="M24" s="42">
        <v>0</v>
      </c>
      <c r="N24" s="43">
        <f t="shared" si="2"/>
        <v>0</v>
      </c>
      <c r="O24" s="44">
        <f t="shared" si="3"/>
        <v>4423.7299999999996</v>
      </c>
      <c r="P24" s="44"/>
      <c r="Q24" s="32">
        <v>0.05</v>
      </c>
      <c r="R24" s="45">
        <f t="shared" si="4"/>
        <v>221.1865</v>
      </c>
      <c r="S24" s="44"/>
      <c r="T24" s="40"/>
      <c r="U24" s="43">
        <f t="shared" si="5"/>
        <v>4644.9164999999994</v>
      </c>
      <c r="V24" s="40"/>
      <c r="W24" s="48">
        <f t="shared" si="6"/>
        <v>663.55949999999996</v>
      </c>
      <c r="X24" s="40"/>
      <c r="Y24" s="42">
        <v>0.18</v>
      </c>
      <c r="Z24" s="44">
        <f t="shared" si="7"/>
        <v>836.08496999999988</v>
      </c>
      <c r="AB24" s="63">
        <f t="shared" si="8"/>
        <v>13271.189999999999</v>
      </c>
      <c r="AE24" s="40"/>
    </row>
    <row r="25" spans="1:31" ht="15.75">
      <c r="A25" s="35">
        <v>7</v>
      </c>
      <c r="B25" s="17">
        <v>73063090</v>
      </c>
      <c r="C25" s="36" t="s">
        <v>54</v>
      </c>
      <c r="D25" s="37">
        <v>10</v>
      </c>
      <c r="E25" s="19">
        <f t="shared" si="0"/>
        <v>6739.5720000000001</v>
      </c>
      <c r="F25" s="38" t="s">
        <v>39</v>
      </c>
      <c r="G25" s="56">
        <f t="shared" si="1"/>
        <v>67395.72</v>
      </c>
      <c r="J25" s="40" t="s">
        <v>44</v>
      </c>
      <c r="K25" s="41"/>
      <c r="L25" s="49">
        <v>6418.64</v>
      </c>
      <c r="M25" s="42">
        <v>0</v>
      </c>
      <c r="N25" s="43">
        <f t="shared" si="2"/>
        <v>0</v>
      </c>
      <c r="O25" s="44">
        <f t="shared" si="3"/>
        <v>6418.64</v>
      </c>
      <c r="P25" s="44"/>
      <c r="Q25" s="32">
        <v>0.05</v>
      </c>
      <c r="R25" s="45">
        <f t="shared" si="4"/>
        <v>320.93200000000002</v>
      </c>
      <c r="S25" s="44"/>
      <c r="T25" s="40"/>
      <c r="U25" s="43">
        <f t="shared" si="5"/>
        <v>6739.5720000000001</v>
      </c>
      <c r="V25" s="40"/>
      <c r="W25" s="48">
        <f t="shared" si="6"/>
        <v>3209.32</v>
      </c>
      <c r="X25" s="40"/>
      <c r="Y25" s="42">
        <v>0.18</v>
      </c>
      <c r="Z25" s="44">
        <f t="shared" si="7"/>
        <v>1213.1229599999999</v>
      </c>
      <c r="AB25" s="63">
        <f t="shared" si="8"/>
        <v>64186.400000000001</v>
      </c>
      <c r="AE25" s="40"/>
    </row>
    <row r="26" spans="1:31" ht="15.75">
      <c r="A26" s="35">
        <v>8</v>
      </c>
      <c r="B26" s="17">
        <v>73063090</v>
      </c>
      <c r="C26" s="36" t="s">
        <v>55</v>
      </c>
      <c r="D26" s="37">
        <v>7</v>
      </c>
      <c r="E26" s="19">
        <f t="shared" si="0"/>
        <v>10063.987499999999</v>
      </c>
      <c r="F26" s="38" t="s">
        <v>39</v>
      </c>
      <c r="G26" s="56">
        <f t="shared" si="1"/>
        <v>70447.912499999991</v>
      </c>
      <c r="J26" s="40" t="s">
        <v>44</v>
      </c>
      <c r="K26" s="41"/>
      <c r="L26" s="49">
        <v>9584.75</v>
      </c>
      <c r="M26" s="42">
        <v>0</v>
      </c>
      <c r="N26" s="43">
        <f t="shared" si="2"/>
        <v>0</v>
      </c>
      <c r="O26" s="44">
        <f t="shared" si="3"/>
        <v>9584.75</v>
      </c>
      <c r="P26" s="44"/>
      <c r="Q26" s="32">
        <v>0.05</v>
      </c>
      <c r="R26" s="45">
        <f t="shared" si="4"/>
        <v>479.23750000000001</v>
      </c>
      <c r="S26" s="44"/>
      <c r="T26" s="40"/>
      <c r="U26" s="43">
        <f t="shared" si="5"/>
        <v>10063.987499999999</v>
      </c>
      <c r="V26" s="40"/>
      <c r="W26" s="48">
        <f t="shared" si="6"/>
        <v>3354.6624999999999</v>
      </c>
      <c r="X26" s="40"/>
      <c r="Y26" s="42">
        <v>0.18</v>
      </c>
      <c r="Z26" s="44">
        <f t="shared" si="7"/>
        <v>1811.5177499999998</v>
      </c>
      <c r="AB26" s="63">
        <f t="shared" si="8"/>
        <v>67093.25</v>
      </c>
      <c r="AE26" s="40"/>
    </row>
    <row r="27" spans="1:31" ht="15.75">
      <c r="A27" s="35"/>
      <c r="B27" s="17"/>
      <c r="C27" s="36"/>
      <c r="D27" s="37"/>
      <c r="E27" s="19"/>
      <c r="F27" s="38"/>
      <c r="G27" s="56"/>
      <c r="J27" s="40"/>
      <c r="K27" s="41"/>
      <c r="L27" s="49"/>
      <c r="M27" s="42"/>
      <c r="N27" s="43"/>
      <c r="O27" s="44"/>
      <c r="P27" s="44"/>
      <c r="Q27" s="32"/>
      <c r="R27" s="45"/>
      <c r="S27" s="44"/>
      <c r="T27" s="40"/>
      <c r="U27" s="43"/>
      <c r="V27" s="40"/>
      <c r="W27" s="48"/>
      <c r="X27" s="40"/>
      <c r="Y27" s="42"/>
      <c r="Z27" s="44"/>
      <c r="AB27" s="63"/>
    </row>
    <row r="28" spans="1:31">
      <c r="A28" s="57"/>
      <c r="B28" s="17">
        <v>996519</v>
      </c>
      <c r="C28" s="34" t="s">
        <v>13</v>
      </c>
      <c r="D28" s="18">
        <v>1</v>
      </c>
      <c r="E28" s="19">
        <v>0</v>
      </c>
      <c r="F28" s="19">
        <v>0</v>
      </c>
      <c r="G28" s="56">
        <f>D28*E28</f>
        <v>0</v>
      </c>
      <c r="J28" s="12"/>
      <c r="K28" s="30"/>
      <c r="L28" s="50"/>
      <c r="M28" s="31"/>
      <c r="N28" s="32"/>
      <c r="O28" s="23"/>
      <c r="P28" s="31"/>
      <c r="R28" s="30"/>
      <c r="T28" s="23"/>
      <c r="AB28" s="63"/>
    </row>
    <row r="29" spans="1:31" ht="15.75">
      <c r="A29" s="109" t="s">
        <v>9</v>
      </c>
      <c r="B29" s="110"/>
      <c r="C29" s="110"/>
      <c r="D29" s="110"/>
      <c r="E29" s="110"/>
      <c r="F29" s="110"/>
      <c r="G29" s="33">
        <f>SUM(G19:G28)</f>
        <v>425777.30999999994</v>
      </c>
      <c r="O29" s="24"/>
      <c r="R29" s="27"/>
      <c r="T29" s="27"/>
      <c r="W29" s="51">
        <f>SUM(W19:W28)</f>
        <v>20275.11</v>
      </c>
      <c r="AB29" s="63">
        <f>SUM(AB19:AB28)</f>
        <v>405502.2</v>
      </c>
    </row>
    <row r="30" spans="1:31" ht="15" customHeight="1">
      <c r="A30" s="90" t="s">
        <v>32</v>
      </c>
      <c r="B30" s="91"/>
      <c r="C30" s="91"/>
      <c r="D30" s="91"/>
      <c r="E30" s="91"/>
      <c r="F30" s="91"/>
      <c r="G30" s="8">
        <f>G29*9%</f>
        <v>38319.957899999994</v>
      </c>
      <c r="J30" s="12"/>
      <c r="L30" s="46">
        <v>85</v>
      </c>
      <c r="M30">
        <v>15</v>
      </c>
      <c r="N30">
        <f>L30*M30</f>
        <v>1275</v>
      </c>
      <c r="P30">
        <v>3500</v>
      </c>
      <c r="Q30" s="21">
        <f>N30+P30</f>
        <v>4775</v>
      </c>
      <c r="R30" s="29"/>
    </row>
    <row r="31" spans="1:31">
      <c r="A31" s="90" t="s">
        <v>33</v>
      </c>
      <c r="B31" s="91"/>
      <c r="C31" s="91"/>
      <c r="D31" s="91"/>
      <c r="E31" s="91"/>
      <c r="F31" s="91"/>
      <c r="G31" s="8">
        <f>G29*9%</f>
        <v>38319.957899999994</v>
      </c>
      <c r="J31" s="12"/>
      <c r="Q31" s="12"/>
      <c r="R31" s="29"/>
      <c r="S31" s="12"/>
      <c r="T31" s="30"/>
    </row>
    <row r="32" spans="1:31" ht="15" customHeight="1" thickBot="1">
      <c r="A32" s="82" t="s">
        <v>31</v>
      </c>
      <c r="B32" s="83"/>
      <c r="C32" s="83"/>
      <c r="D32" s="83"/>
      <c r="E32" s="83"/>
      <c r="F32" s="83"/>
      <c r="G32" s="7"/>
      <c r="H32" s="39"/>
    </row>
    <row r="33" spans="1:23" ht="15.75">
      <c r="A33" s="84" t="s">
        <v>34</v>
      </c>
      <c r="B33" s="85"/>
      <c r="C33" s="85"/>
      <c r="D33" s="85"/>
      <c r="E33" s="85"/>
      <c r="F33" s="85"/>
      <c r="G33" s="9">
        <f>G29+G30+G31</f>
        <v>502417.2257999999</v>
      </c>
      <c r="J33" s="21"/>
      <c r="M33" s="22"/>
      <c r="R33" s="9"/>
      <c r="T33" s="9"/>
    </row>
    <row r="34" spans="1:23" ht="14.25" customHeight="1">
      <c r="A34" s="86" t="s">
        <v>27</v>
      </c>
      <c r="B34" s="87"/>
      <c r="C34" s="87"/>
      <c r="D34" s="88" t="s">
        <v>21</v>
      </c>
      <c r="E34" s="88"/>
      <c r="F34" s="88"/>
      <c r="G34" s="89"/>
    </row>
    <row r="35" spans="1:23" ht="51.75" customHeight="1">
      <c r="A35" s="10">
        <v>1</v>
      </c>
      <c r="B35" s="67" t="s">
        <v>28</v>
      </c>
      <c r="C35" s="68"/>
      <c r="D35" s="69" t="s">
        <v>22</v>
      </c>
      <c r="E35" s="69"/>
      <c r="F35" s="69"/>
      <c r="G35" s="70"/>
      <c r="J35" s="12"/>
    </row>
    <row r="36" spans="1:23" ht="49.5" customHeight="1">
      <c r="A36" s="10">
        <v>2</v>
      </c>
      <c r="B36" s="67" t="s">
        <v>29</v>
      </c>
      <c r="C36" s="68"/>
      <c r="D36" s="69" t="s">
        <v>26</v>
      </c>
      <c r="E36" s="69"/>
      <c r="F36" s="69"/>
      <c r="G36" s="70"/>
    </row>
    <row r="37" spans="1:23">
      <c r="A37" s="71"/>
      <c r="B37" s="72"/>
      <c r="C37" s="72"/>
      <c r="D37" s="72"/>
      <c r="E37" s="72"/>
      <c r="F37" s="72"/>
      <c r="G37" s="73"/>
      <c r="J37" s="12"/>
    </row>
    <row r="38" spans="1:23">
      <c r="A38" s="74" t="s">
        <v>30</v>
      </c>
      <c r="B38" s="75"/>
      <c r="C38" s="75"/>
      <c r="D38" s="76" t="s">
        <v>23</v>
      </c>
      <c r="E38" s="76"/>
      <c r="F38" s="76"/>
      <c r="G38" s="77"/>
    </row>
    <row r="39" spans="1:23">
      <c r="A39" s="74"/>
      <c r="B39" s="75"/>
      <c r="C39" s="75"/>
      <c r="D39" s="76"/>
      <c r="E39" s="76"/>
      <c r="F39" s="76"/>
      <c r="G39" s="77"/>
    </row>
    <row r="40" spans="1:23">
      <c r="A40" s="74"/>
      <c r="B40" s="75"/>
      <c r="C40" s="75"/>
      <c r="D40" s="76"/>
      <c r="E40" s="76"/>
      <c r="F40" s="76"/>
      <c r="G40" s="77"/>
    </row>
    <row r="41" spans="1:23">
      <c r="A41" s="78"/>
      <c r="B41" s="79"/>
      <c r="C41" s="79"/>
      <c r="D41" s="80" t="s">
        <v>24</v>
      </c>
      <c r="E41" s="80"/>
      <c r="F41" s="80"/>
      <c r="G41" s="81"/>
    </row>
    <row r="42" spans="1:23" ht="15.75" thickBot="1">
      <c r="A42" s="64" t="s">
        <v>25</v>
      </c>
      <c r="B42" s="65"/>
      <c r="C42" s="65"/>
      <c r="D42" s="65"/>
      <c r="E42" s="65"/>
      <c r="F42" s="65"/>
      <c r="G42" s="66"/>
    </row>
    <row r="43" spans="1:23" s="11" customFormat="1" ht="15.75" thickBot="1">
      <c r="A43" s="58"/>
      <c r="B43" s="59"/>
      <c r="C43" s="59"/>
      <c r="D43" s="59"/>
      <c r="E43" s="59"/>
      <c r="F43" s="59"/>
      <c r="G43" s="60"/>
      <c r="L43" s="46"/>
      <c r="R43" s="28"/>
      <c r="W43" s="46"/>
    </row>
  </sheetData>
  <mergeCells count="38">
    <mergeCell ref="A1:B6"/>
    <mergeCell ref="C1:G6"/>
    <mergeCell ref="A7:C7"/>
    <mergeCell ref="D7:G7"/>
    <mergeCell ref="A8:C8"/>
    <mergeCell ref="D8:G8"/>
    <mergeCell ref="A9:C9"/>
    <mergeCell ref="D9:G9"/>
    <mergeCell ref="A10:C10"/>
    <mergeCell ref="D10:G10"/>
    <mergeCell ref="A11:B11"/>
    <mergeCell ref="D11:G11"/>
    <mergeCell ref="A31:F31"/>
    <mergeCell ref="A12:B12"/>
    <mergeCell ref="D12:G12"/>
    <mergeCell ref="A13:C13"/>
    <mergeCell ref="D13:G13"/>
    <mergeCell ref="A14:C14"/>
    <mergeCell ref="D14:G14"/>
    <mergeCell ref="A15:B15"/>
    <mergeCell ref="D15:E15"/>
    <mergeCell ref="F15:G15"/>
    <mergeCell ref="A29:F29"/>
    <mergeCell ref="A30:F30"/>
    <mergeCell ref="A32:F32"/>
    <mergeCell ref="A33:F33"/>
    <mergeCell ref="A34:C34"/>
    <mergeCell ref="D34:G34"/>
    <mergeCell ref="B35:C35"/>
    <mergeCell ref="D35:G35"/>
    <mergeCell ref="A42:G42"/>
    <mergeCell ref="B36:C36"/>
    <mergeCell ref="D36:G36"/>
    <mergeCell ref="A37:G37"/>
    <mergeCell ref="A38:C40"/>
    <mergeCell ref="D38:G40"/>
    <mergeCell ref="A41:C41"/>
    <mergeCell ref="D41:G41"/>
  </mergeCells>
  <hyperlinks>
    <hyperlink ref="D10" r:id="rId1"/>
    <hyperlink ref="D11" r:id="rId2"/>
  </hyperlinks>
  <pageMargins left="0.70866141732283472" right="0.70866141732283472" top="0.74803149606299213" bottom="0.74803149606299213" header="0.31496062992125984" footer="0.31496062992125984"/>
  <pageSetup paperSize="9" scale="72" fitToWidth="2" orientation="portrait" verticalDpi="0" r:id="rId3"/>
  <colBreaks count="1" manualBreakCount="1">
    <brk id="7" max="1048575" man="1"/>
  </colBrea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</vt:lpstr>
      <vt:lpstr>Sheet2</vt:lpstr>
      <vt:lpstr>Second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2026-04-29T01:28:52Z</dcterms:modified>
</cp:coreProperties>
</file>
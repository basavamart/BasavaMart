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10" windowWidth="18855" windowHeight="7875"/>
  </bookViews>
  <sheets>
    <sheet name="Template" sheetId="1" r:id="rId1"/>
  </sheets>
  <calcPr calcId="124519"/>
</workbook>
</file>

<file path=xl/calcChain.xml><?xml version="1.0" encoding="utf-8"?>
<calcChain xmlns="http://schemas.openxmlformats.org/spreadsheetml/2006/main">
  <c r="AE12" i="1"/>
  <c r="AG12" s="1"/>
  <c r="Y12"/>
  <c r="AA12" s="1"/>
  <c r="S12"/>
  <c r="U12" s="1"/>
  <c r="R12"/>
  <c r="AG11"/>
  <c r="AE11"/>
  <c r="Y11"/>
  <c r="AA11" s="1"/>
  <c r="S11"/>
  <c r="U11" s="1"/>
  <c r="R11"/>
  <c r="AE9"/>
  <c r="AG9" s="1"/>
  <c r="AE10"/>
  <c r="AG10" s="1"/>
  <c r="Y9"/>
  <c r="AA9" s="1"/>
  <c r="Y10"/>
  <c r="AA10" s="1"/>
  <c r="S9"/>
  <c r="U9" s="1"/>
  <c r="S10"/>
  <c r="U10" s="1"/>
  <c r="R9"/>
  <c r="R10"/>
  <c r="R2"/>
  <c r="R3"/>
  <c r="R4"/>
  <c r="R5"/>
  <c r="R6"/>
  <c r="R7"/>
  <c r="R8"/>
  <c r="S2"/>
  <c r="U2" s="1"/>
  <c r="Y2"/>
  <c r="AA2" s="1"/>
  <c r="AE2"/>
  <c r="AG2" s="1"/>
  <c r="S3"/>
  <c r="U3" s="1"/>
  <c r="Y3"/>
  <c r="AA3" s="1"/>
  <c r="AE3"/>
  <c r="AG3" s="1"/>
  <c r="S4"/>
  <c r="U4" s="1"/>
  <c r="Y4"/>
  <c r="AA4" s="1"/>
  <c r="AE4"/>
  <c r="AG4" s="1"/>
  <c r="S5"/>
  <c r="U5" s="1"/>
  <c r="Y5"/>
  <c r="AA5" s="1"/>
  <c r="AE5"/>
  <c r="AG5" s="1"/>
  <c r="S6"/>
  <c r="U6" s="1"/>
  <c r="Y6"/>
  <c r="AA6" s="1"/>
  <c r="AE6"/>
  <c r="AG6" s="1"/>
  <c r="S7"/>
  <c r="U7" s="1"/>
  <c r="Y7"/>
  <c r="AA7" s="1"/>
  <c r="AE7"/>
  <c r="AG7" s="1"/>
  <c r="S8"/>
  <c r="U8" s="1"/>
  <c r="Y8"/>
  <c r="AA8" s="1"/>
  <c r="AE8"/>
  <c r="AG8" s="1"/>
  <c r="V11" l="1"/>
  <c r="W11" s="1"/>
  <c r="AB11" s="1"/>
  <c r="AC11" s="1"/>
  <c r="AH11" s="1"/>
  <c r="AJ11" s="1"/>
  <c r="V12"/>
  <c r="W12" s="1"/>
  <c r="AB12" s="1"/>
  <c r="AC12" s="1"/>
  <c r="AH12" s="1"/>
  <c r="AJ12" s="1"/>
  <c r="V7"/>
  <c r="W7" s="1"/>
  <c r="AB7" s="1"/>
  <c r="AC7" s="1"/>
  <c r="AH7" s="1"/>
  <c r="AJ7" s="1"/>
  <c r="V5"/>
  <c r="W5" s="1"/>
  <c r="AB5" s="1"/>
  <c r="AC5" s="1"/>
  <c r="AH5" s="1"/>
  <c r="AJ5" s="1"/>
  <c r="V3"/>
  <c r="W3" s="1"/>
  <c r="AB3" s="1"/>
  <c r="AC3" s="1"/>
  <c r="AH3" s="1"/>
  <c r="AJ3" s="1"/>
  <c r="V8"/>
  <c r="W8" s="1"/>
  <c r="AB8" s="1"/>
  <c r="AC8" s="1"/>
  <c r="AH8" s="1"/>
  <c r="AJ8" s="1"/>
  <c r="V6"/>
  <c r="W6" s="1"/>
  <c r="AB6" s="1"/>
  <c r="AC6" s="1"/>
  <c r="AH6" s="1"/>
  <c r="AJ6" s="1"/>
  <c r="V4"/>
  <c r="W4" s="1"/>
  <c r="AB4" s="1"/>
  <c r="AC4" s="1"/>
  <c r="AH4" s="1"/>
  <c r="AJ4" s="1"/>
  <c r="V2"/>
  <c r="W2" s="1"/>
  <c r="AB2" s="1"/>
  <c r="AC2" s="1"/>
  <c r="AH2" s="1"/>
  <c r="AJ2" s="1"/>
  <c r="V9"/>
  <c r="W9" s="1"/>
  <c r="AB9" s="1"/>
  <c r="AC9" s="1"/>
  <c r="AH9" s="1"/>
  <c r="AJ9" s="1"/>
  <c r="V10"/>
  <c r="W10" s="1"/>
  <c r="AB10" s="1"/>
  <c r="AC10" s="1"/>
  <c r="AH10" s="1"/>
  <c r="AJ10" s="1"/>
</calcChain>
</file>

<file path=xl/sharedStrings.xml><?xml version="1.0" encoding="utf-8"?>
<sst xmlns="http://schemas.openxmlformats.org/spreadsheetml/2006/main" count="63" uniqueCount="48">
  <si>
    <t>BRAND</t>
  </si>
  <si>
    <t>CATEGORY</t>
  </si>
  <si>
    <t>SUB CATEGORY</t>
  </si>
  <si>
    <t>PRODUCT NAME</t>
  </si>
  <si>
    <t>VARIANT NAME</t>
  </si>
  <si>
    <t>STOCK</t>
  </si>
  <si>
    <t>UNIT</t>
  </si>
  <si>
    <t>WEIGHT</t>
  </si>
  <si>
    <t>LIST PRICE</t>
  </si>
  <si>
    <t>DISCOUNT (%)</t>
  </si>
  <si>
    <t>PROFIT (%)</t>
  </si>
  <si>
    <t>GST (%)</t>
  </si>
  <si>
    <t>FINAL PRICE</t>
  </si>
  <si>
    <t>SECONDARY THRESHOLD</t>
  </si>
  <si>
    <t>TERTIARY THRESHOLD</t>
  </si>
  <si>
    <t>Brand</t>
  </si>
  <si>
    <t>Category</t>
  </si>
  <si>
    <t>Sub Category</t>
  </si>
  <si>
    <t>Product</t>
  </si>
  <si>
    <t>Pieces</t>
  </si>
  <si>
    <t>=ROUND((I2*(1-J2/100))*(1+K2/100)*(1+L2/100),0)</t>
  </si>
  <si>
    <t>DO NOT CHANGE</t>
  </si>
  <si>
    <t>Profit %</t>
  </si>
  <si>
    <t>Auto-calc</t>
  </si>
  <si>
    <t>Final Price Aft + Tax</t>
  </si>
  <si>
    <t>Tax Amt</t>
  </si>
  <si>
    <t>Tax %</t>
  </si>
  <si>
    <t>Tax</t>
  </si>
  <si>
    <t>SP Aft + Profit</t>
  </si>
  <si>
    <t>Profit Amt</t>
  </si>
  <si>
    <t>Amount</t>
  </si>
  <si>
    <t>Profit</t>
  </si>
  <si>
    <t>After Disc Landing Price</t>
  </si>
  <si>
    <t>Disc Amt</t>
  </si>
  <si>
    <t>Discount</t>
  </si>
  <si>
    <t>percentage</t>
  </si>
  <si>
    <t>List Price</t>
  </si>
  <si>
    <r>
      <t>Size 15mm(</t>
    </r>
    <r>
      <rPr>
        <sz val="12"/>
        <color theme="1"/>
        <rFont val="Calibri"/>
        <family val="2"/>
      </rPr>
      <t>½"inch)</t>
    </r>
  </si>
  <si>
    <r>
      <t xml:space="preserve"> Size 20mm(</t>
    </r>
    <r>
      <rPr>
        <sz val="12"/>
        <color theme="1"/>
        <rFont val="Calibri"/>
        <family val="2"/>
      </rPr>
      <t>¾</t>
    </r>
    <r>
      <rPr>
        <sz val="12"/>
        <color theme="1"/>
        <rFont val="Calibri"/>
        <family val="2"/>
        <scheme val="minor"/>
      </rPr>
      <t>"inch)</t>
    </r>
  </si>
  <si>
    <t>Size 25mm(1"inch)</t>
  </si>
  <si>
    <r>
      <t>Size 32mm(1</t>
    </r>
    <r>
      <rPr>
        <sz val="12"/>
        <color theme="1"/>
        <rFont val="Calibri"/>
        <family val="2"/>
      </rPr>
      <t>¼</t>
    </r>
    <r>
      <rPr>
        <sz val="12"/>
        <color theme="1"/>
        <rFont val="Calibri"/>
        <family val="2"/>
        <scheme val="minor"/>
      </rPr>
      <t>"inch)</t>
    </r>
  </si>
  <si>
    <r>
      <t>Size 40mm(1</t>
    </r>
    <r>
      <rPr>
        <sz val="12"/>
        <color theme="1"/>
        <rFont val="Calibri"/>
        <family val="2"/>
      </rPr>
      <t>½</t>
    </r>
    <r>
      <rPr>
        <sz val="12"/>
        <color theme="1"/>
        <rFont val="Calibri"/>
        <family val="2"/>
        <scheme val="minor"/>
      </rPr>
      <t xml:space="preserve">"inch) </t>
    </r>
  </si>
  <si>
    <t>Size 50mm(2"inch)</t>
  </si>
  <si>
    <t>Size 65mm(2½"inch)</t>
  </si>
  <si>
    <t>Size 80mm(3"inch)</t>
  </si>
  <si>
    <t>Size 100mm(4"inch)</t>
  </si>
  <si>
    <t>Size 125mm(5"inch)</t>
  </si>
  <si>
    <t>Size 150mm(6"inch)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</si>
</sst>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(* #,##0_);_(* \(#,##0\);_(* &quot;-&quot;??_);_(@_)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 applyNumberFormat="1"/>
    <xf numFmtId="43" fontId="2" fillId="0" borderId="0" xfId="1" applyFont="1"/>
    <xf numFmtId="43" fontId="0" fillId="0" borderId="0" xfId="1" applyFont="1"/>
    <xf numFmtId="9" fontId="0" fillId="0" borderId="0" xfId="0" applyNumberFormat="1"/>
    <xf numFmtId="43" fontId="3" fillId="0" borderId="0" xfId="1" applyFont="1"/>
    <xf numFmtId="43" fontId="4" fillId="2" borderId="0" xfId="1" applyFont="1" applyFill="1"/>
    <xf numFmtId="43" fontId="0" fillId="2" borderId="0" xfId="1" applyFont="1" applyFill="1"/>
    <xf numFmtId="0" fontId="0" fillId="2" borderId="0" xfId="0" applyNumberFormat="1" applyFill="1"/>
    <xf numFmtId="9" fontId="0" fillId="2" borderId="0" xfId="0" applyNumberFormat="1" applyFill="1"/>
    <xf numFmtId="1" fontId="0" fillId="2" borderId="0" xfId="0" applyNumberFormat="1" applyFill="1"/>
    <xf numFmtId="164" fontId="0" fillId="2" borderId="0" xfId="0" applyNumberFormat="1" applyFill="1"/>
    <xf numFmtId="0" fontId="0" fillId="0" borderId="1" xfId="0" applyNumberFormat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wrapText="1"/>
    </xf>
    <xf numFmtId="0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"/>
  <sheetViews>
    <sheetView tabSelected="1" topLeftCell="D1" workbookViewId="0">
      <selection activeCell="H13" sqref="H13"/>
    </sheetView>
  </sheetViews>
  <sheetFormatPr defaultRowHeight="15.75"/>
  <cols>
    <col min="1" max="5" width="18.875" customWidth="1"/>
    <col min="6" max="6" width="9.75" customWidth="1"/>
    <col min="7" max="7" width="9.125" customWidth="1"/>
    <col min="8" max="8" width="12" customWidth="1"/>
    <col min="9" max="9" width="8.75" customWidth="1"/>
    <col min="10" max="10" width="6.25" customWidth="1"/>
    <col min="11" max="11" width="5.125" customWidth="1"/>
    <col min="12" max="12" width="5.25" customWidth="1"/>
    <col min="13" max="13" width="8.125" customWidth="1"/>
    <col min="14" max="15" width="18.875" customWidth="1"/>
    <col min="18" max="18" width="9.125" bestFit="1" customWidth="1"/>
    <col min="22" max="22" width="9.875" bestFit="1" customWidth="1"/>
    <col min="23" max="23" width="11" customWidth="1"/>
    <col min="36" max="36" width="17.2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s="7" t="s">
        <v>36</v>
      </c>
      <c r="S1" s="7" t="s">
        <v>34</v>
      </c>
      <c r="T1" s="7" t="s">
        <v>35</v>
      </c>
      <c r="U1" s="7" t="s">
        <v>34</v>
      </c>
      <c r="V1" s="7" t="s">
        <v>33</v>
      </c>
      <c r="W1" s="7" t="s">
        <v>32</v>
      </c>
      <c r="Y1" t="s">
        <v>31</v>
      </c>
      <c r="Z1" t="s">
        <v>22</v>
      </c>
      <c r="AA1" t="s">
        <v>30</v>
      </c>
      <c r="AB1" t="s">
        <v>29</v>
      </c>
      <c r="AC1" t="s">
        <v>28</v>
      </c>
      <c r="AE1" t="s">
        <v>27</v>
      </c>
      <c r="AF1" t="s">
        <v>26</v>
      </c>
      <c r="AG1" t="s">
        <v>25</v>
      </c>
      <c r="AH1" t="s">
        <v>25</v>
      </c>
      <c r="AJ1" t="s">
        <v>24</v>
      </c>
    </row>
    <row r="2" spans="1:36">
      <c r="A2" t="s">
        <v>15</v>
      </c>
      <c r="B2" t="s">
        <v>16</v>
      </c>
      <c r="C2" t="s">
        <v>17</v>
      </c>
      <c r="D2" t="s">
        <v>18</v>
      </c>
      <c r="E2" s="11" t="s">
        <v>37</v>
      </c>
      <c r="F2">
        <v>1000</v>
      </c>
      <c r="G2" t="s">
        <v>19</v>
      </c>
      <c r="H2" s="12">
        <v>1.44</v>
      </c>
      <c r="I2">
        <v>241</v>
      </c>
      <c r="J2">
        <v>2</v>
      </c>
      <c r="K2">
        <v>4</v>
      </c>
      <c r="L2">
        <v>18</v>
      </c>
      <c r="M2" t="s">
        <v>20</v>
      </c>
      <c r="N2">
        <v>6</v>
      </c>
      <c r="O2">
        <v>60</v>
      </c>
      <c r="R2" s="10">
        <f>I2</f>
        <v>241</v>
      </c>
      <c r="S2" s="9">
        <f>Template!J2</f>
        <v>2</v>
      </c>
      <c r="T2" s="8">
        <v>0.01</v>
      </c>
      <c r="U2" s="7">
        <f t="shared" ref="U2:U8" si="0">S2*T2</f>
        <v>0.02</v>
      </c>
      <c r="V2" s="6">
        <f t="shared" ref="V2:V8" si="1">U2*R2</f>
        <v>4.82</v>
      </c>
      <c r="W2" s="5">
        <f t="shared" ref="W2:W8" si="2">R2-V2</f>
        <v>236.18</v>
      </c>
      <c r="Y2">
        <f>Template!K2</f>
        <v>4</v>
      </c>
      <c r="Z2" s="3">
        <v>0.01</v>
      </c>
      <c r="AA2">
        <f t="shared" ref="AA2:AA8" si="3">Y2*Z2</f>
        <v>0.04</v>
      </c>
      <c r="AB2" s="2">
        <f t="shared" ref="AB2:AB8" si="4">AA2*W2</f>
        <v>9.4472000000000005</v>
      </c>
      <c r="AC2" s="4">
        <f t="shared" ref="AC2:AC8" si="5">AB2+W2</f>
        <v>245.62720000000002</v>
      </c>
      <c r="AE2">
        <f>Template!L2</f>
        <v>18</v>
      </c>
      <c r="AF2" s="3">
        <v>0.01</v>
      </c>
      <c r="AG2">
        <f t="shared" ref="AG2:AG8" si="6">AE2*AF2</f>
        <v>0.18</v>
      </c>
      <c r="AH2" s="2">
        <f t="shared" ref="AH2:AH8" si="7">AG2*AC2</f>
        <v>44.212896000000001</v>
      </c>
      <c r="AJ2" s="1">
        <f t="shared" ref="AJ2:AJ8" si="8">AH2+AC2</f>
        <v>289.84009600000002</v>
      </c>
    </row>
    <row r="3" spans="1:36">
      <c r="A3" t="s">
        <v>21</v>
      </c>
      <c r="B3" t="s">
        <v>21</v>
      </c>
      <c r="C3" t="s">
        <v>21</v>
      </c>
      <c r="D3" t="s">
        <v>21</v>
      </c>
      <c r="E3" s="13" t="s">
        <v>38</v>
      </c>
      <c r="F3">
        <v>1000</v>
      </c>
      <c r="G3" t="s">
        <v>19</v>
      </c>
      <c r="H3" s="12">
        <v>1.87</v>
      </c>
      <c r="I3">
        <v>296</v>
      </c>
      <c r="J3">
        <v>2</v>
      </c>
      <c r="K3">
        <v>4</v>
      </c>
      <c r="L3">
        <v>18</v>
      </c>
      <c r="M3" t="s">
        <v>23</v>
      </c>
      <c r="N3">
        <v>6</v>
      </c>
      <c r="O3">
        <v>60</v>
      </c>
      <c r="R3" s="10">
        <f t="shared" ref="R3:R10" si="9">I3</f>
        <v>296</v>
      </c>
      <c r="S3" s="9">
        <f>Template!J3</f>
        <v>2</v>
      </c>
      <c r="T3" s="8">
        <v>0.01</v>
      </c>
      <c r="U3" s="7">
        <f t="shared" si="0"/>
        <v>0.02</v>
      </c>
      <c r="V3" s="6">
        <f t="shared" si="1"/>
        <v>5.92</v>
      </c>
      <c r="W3" s="5">
        <f t="shared" si="2"/>
        <v>290.08</v>
      </c>
      <c r="Y3">
        <f>Template!K3</f>
        <v>4</v>
      </c>
      <c r="Z3" s="3">
        <v>0.01</v>
      </c>
      <c r="AA3">
        <f t="shared" si="3"/>
        <v>0.04</v>
      </c>
      <c r="AB3" s="2">
        <f t="shared" si="4"/>
        <v>11.603199999999999</v>
      </c>
      <c r="AC3" s="4">
        <f t="shared" si="5"/>
        <v>301.6832</v>
      </c>
      <c r="AE3">
        <f>Template!L3</f>
        <v>18</v>
      </c>
      <c r="AF3" s="3">
        <v>0.01</v>
      </c>
      <c r="AG3">
        <f t="shared" si="6"/>
        <v>0.18</v>
      </c>
      <c r="AH3" s="2">
        <f t="shared" si="7"/>
        <v>54.302976000000001</v>
      </c>
      <c r="AJ3" s="1">
        <f t="shared" si="8"/>
        <v>355.986176</v>
      </c>
    </row>
    <row r="4" spans="1:36">
      <c r="E4" s="14" t="s">
        <v>39</v>
      </c>
      <c r="F4">
        <v>1000</v>
      </c>
      <c r="G4" t="s">
        <v>19</v>
      </c>
      <c r="H4" s="12">
        <v>2.97</v>
      </c>
      <c r="I4">
        <v>451</v>
      </c>
      <c r="J4">
        <v>2</v>
      </c>
      <c r="K4">
        <v>4</v>
      </c>
      <c r="L4">
        <v>18</v>
      </c>
      <c r="N4">
        <v>6</v>
      </c>
      <c r="O4">
        <v>60</v>
      </c>
      <c r="R4" s="10">
        <f t="shared" si="9"/>
        <v>451</v>
      </c>
      <c r="S4" s="9">
        <f>Template!J4</f>
        <v>2</v>
      </c>
      <c r="T4" s="8">
        <v>0.01</v>
      </c>
      <c r="U4" s="7">
        <f t="shared" si="0"/>
        <v>0.02</v>
      </c>
      <c r="V4" s="6">
        <f t="shared" si="1"/>
        <v>9.02</v>
      </c>
      <c r="W4" s="5">
        <f t="shared" si="2"/>
        <v>441.98</v>
      </c>
      <c r="Y4">
        <f>Template!K4</f>
        <v>4</v>
      </c>
      <c r="Z4" s="3">
        <v>0.01</v>
      </c>
      <c r="AA4">
        <f t="shared" si="3"/>
        <v>0.04</v>
      </c>
      <c r="AB4" s="2">
        <f t="shared" si="4"/>
        <v>17.679200000000002</v>
      </c>
      <c r="AC4" s="4">
        <f t="shared" si="5"/>
        <v>459.6592</v>
      </c>
      <c r="AE4">
        <f>Template!L4</f>
        <v>18</v>
      </c>
      <c r="AF4" s="3">
        <v>0.01</v>
      </c>
      <c r="AG4">
        <f t="shared" si="6"/>
        <v>0.18</v>
      </c>
      <c r="AH4" s="2">
        <f t="shared" si="7"/>
        <v>82.738655999999992</v>
      </c>
      <c r="AJ4" s="1">
        <f t="shared" si="8"/>
        <v>542.39785600000005</v>
      </c>
    </row>
    <row r="5" spans="1:36">
      <c r="E5" s="14" t="s">
        <v>40</v>
      </c>
      <c r="F5">
        <v>1000</v>
      </c>
      <c r="G5" t="s">
        <v>19</v>
      </c>
      <c r="H5" s="12">
        <v>3.84</v>
      </c>
      <c r="I5">
        <v>577</v>
      </c>
      <c r="J5">
        <v>2</v>
      </c>
      <c r="K5">
        <v>4</v>
      </c>
      <c r="L5">
        <v>18</v>
      </c>
      <c r="N5">
        <v>6</v>
      </c>
      <c r="O5">
        <v>60</v>
      </c>
      <c r="R5" s="10">
        <f t="shared" si="9"/>
        <v>577</v>
      </c>
      <c r="S5" s="9">
        <f>Template!J5</f>
        <v>2</v>
      </c>
      <c r="T5" s="8">
        <v>0.01</v>
      </c>
      <c r="U5" s="7">
        <f t="shared" si="0"/>
        <v>0.02</v>
      </c>
      <c r="V5" s="6">
        <f t="shared" si="1"/>
        <v>11.540000000000001</v>
      </c>
      <c r="W5" s="5">
        <f t="shared" si="2"/>
        <v>565.46</v>
      </c>
      <c r="Y5">
        <f>Template!K5</f>
        <v>4</v>
      </c>
      <c r="Z5" s="3">
        <v>0.01</v>
      </c>
      <c r="AA5">
        <f t="shared" si="3"/>
        <v>0.04</v>
      </c>
      <c r="AB5" s="2">
        <f t="shared" si="4"/>
        <v>22.618400000000001</v>
      </c>
      <c r="AC5" s="4">
        <f t="shared" si="5"/>
        <v>588.07839999999999</v>
      </c>
      <c r="AE5">
        <f>Template!L5</f>
        <v>18</v>
      </c>
      <c r="AF5" s="3">
        <v>0.01</v>
      </c>
      <c r="AG5">
        <f t="shared" si="6"/>
        <v>0.18</v>
      </c>
      <c r="AH5" s="2">
        <f t="shared" si="7"/>
        <v>105.854112</v>
      </c>
      <c r="AJ5" s="1">
        <f t="shared" si="8"/>
        <v>693.93251199999997</v>
      </c>
    </row>
    <row r="6" spans="1:36">
      <c r="E6" s="14" t="s">
        <v>41</v>
      </c>
      <c r="F6">
        <v>1000</v>
      </c>
      <c r="G6" t="s">
        <v>19</v>
      </c>
      <c r="H6" s="12">
        <v>4.41</v>
      </c>
      <c r="I6">
        <v>657</v>
      </c>
      <c r="J6">
        <v>2</v>
      </c>
      <c r="K6">
        <v>4</v>
      </c>
      <c r="L6">
        <v>18</v>
      </c>
      <c r="N6">
        <v>6</v>
      </c>
      <c r="O6">
        <v>60</v>
      </c>
      <c r="R6" s="10">
        <f t="shared" si="9"/>
        <v>657</v>
      </c>
      <c r="S6" s="9">
        <f>Template!J6</f>
        <v>2</v>
      </c>
      <c r="T6" s="8">
        <v>0.01</v>
      </c>
      <c r="U6" s="7">
        <f t="shared" si="0"/>
        <v>0.02</v>
      </c>
      <c r="V6" s="6">
        <f t="shared" si="1"/>
        <v>13.14</v>
      </c>
      <c r="W6" s="5">
        <f t="shared" si="2"/>
        <v>643.86</v>
      </c>
      <c r="Y6">
        <f>Template!K6</f>
        <v>4</v>
      </c>
      <c r="Z6" s="3">
        <v>0.01</v>
      </c>
      <c r="AA6">
        <f t="shared" si="3"/>
        <v>0.04</v>
      </c>
      <c r="AB6" s="2">
        <f t="shared" si="4"/>
        <v>25.7544</v>
      </c>
      <c r="AC6" s="4">
        <f t="shared" si="5"/>
        <v>669.61440000000005</v>
      </c>
      <c r="AE6">
        <f>Template!L6</f>
        <v>18</v>
      </c>
      <c r="AF6" s="3">
        <v>0.01</v>
      </c>
      <c r="AG6">
        <f t="shared" si="6"/>
        <v>0.18</v>
      </c>
      <c r="AH6" s="2">
        <f t="shared" si="7"/>
        <v>120.530592</v>
      </c>
      <c r="AJ6" s="1">
        <f t="shared" si="8"/>
        <v>790.144992</v>
      </c>
    </row>
    <row r="7" spans="1:36">
      <c r="E7" s="14" t="s">
        <v>42</v>
      </c>
      <c r="F7">
        <v>1000</v>
      </c>
      <c r="G7" t="s">
        <v>19</v>
      </c>
      <c r="H7" s="12">
        <v>6.19</v>
      </c>
      <c r="I7">
        <v>918</v>
      </c>
      <c r="J7">
        <v>2</v>
      </c>
      <c r="K7">
        <v>4</v>
      </c>
      <c r="L7">
        <v>18</v>
      </c>
      <c r="N7">
        <v>6</v>
      </c>
      <c r="O7">
        <v>60</v>
      </c>
      <c r="R7" s="10">
        <f t="shared" si="9"/>
        <v>918</v>
      </c>
      <c r="S7" s="9">
        <f>Template!J7</f>
        <v>2</v>
      </c>
      <c r="T7" s="8">
        <v>0.01</v>
      </c>
      <c r="U7" s="7">
        <f t="shared" si="0"/>
        <v>0.02</v>
      </c>
      <c r="V7" s="6">
        <f t="shared" si="1"/>
        <v>18.36</v>
      </c>
      <c r="W7" s="5">
        <f t="shared" si="2"/>
        <v>899.64</v>
      </c>
      <c r="Y7">
        <f>Template!K7</f>
        <v>4</v>
      </c>
      <c r="Z7" s="3">
        <v>0.01</v>
      </c>
      <c r="AA7">
        <f t="shared" si="3"/>
        <v>0.04</v>
      </c>
      <c r="AB7" s="2">
        <f t="shared" si="4"/>
        <v>35.985599999999998</v>
      </c>
      <c r="AC7" s="4">
        <f t="shared" si="5"/>
        <v>935.62559999999996</v>
      </c>
      <c r="AE7">
        <f>Template!L7</f>
        <v>18</v>
      </c>
      <c r="AF7" s="3">
        <v>0.01</v>
      </c>
      <c r="AG7">
        <f t="shared" si="6"/>
        <v>0.18</v>
      </c>
      <c r="AH7" s="2">
        <f t="shared" si="7"/>
        <v>168.41260799999998</v>
      </c>
      <c r="AJ7" s="1">
        <f t="shared" si="8"/>
        <v>1104.0382079999999</v>
      </c>
    </row>
    <row r="8" spans="1:36">
      <c r="E8" s="14" t="s">
        <v>43</v>
      </c>
      <c r="F8">
        <v>1000</v>
      </c>
      <c r="G8" t="s">
        <v>19</v>
      </c>
      <c r="H8" s="12">
        <v>7.93</v>
      </c>
      <c r="I8">
        <v>1197</v>
      </c>
      <c r="J8">
        <v>2</v>
      </c>
      <c r="K8">
        <v>4</v>
      </c>
      <c r="L8">
        <v>18</v>
      </c>
      <c r="N8">
        <v>6</v>
      </c>
      <c r="O8">
        <v>60</v>
      </c>
      <c r="R8" s="10">
        <f t="shared" si="9"/>
        <v>1197</v>
      </c>
      <c r="S8" s="9">
        <f>Template!J8</f>
        <v>2</v>
      </c>
      <c r="T8" s="8">
        <v>0.01</v>
      </c>
      <c r="U8" s="7">
        <f t="shared" si="0"/>
        <v>0.02</v>
      </c>
      <c r="V8" s="6">
        <f t="shared" si="1"/>
        <v>23.94</v>
      </c>
      <c r="W8" s="5">
        <f t="shared" si="2"/>
        <v>1173.06</v>
      </c>
      <c r="Y8">
        <f>Template!K8</f>
        <v>4</v>
      </c>
      <c r="Z8" s="3">
        <v>0.01</v>
      </c>
      <c r="AA8">
        <f t="shared" si="3"/>
        <v>0.04</v>
      </c>
      <c r="AB8" s="2">
        <f t="shared" si="4"/>
        <v>46.922399999999996</v>
      </c>
      <c r="AC8" s="4">
        <f t="shared" si="5"/>
        <v>1219.9823999999999</v>
      </c>
      <c r="AE8">
        <f>Template!L8</f>
        <v>18</v>
      </c>
      <c r="AF8" s="3">
        <v>0.01</v>
      </c>
      <c r="AG8">
        <f t="shared" si="6"/>
        <v>0.18</v>
      </c>
      <c r="AH8" s="2">
        <f t="shared" si="7"/>
        <v>219.59683199999998</v>
      </c>
      <c r="AJ8" s="1">
        <f t="shared" si="8"/>
        <v>1439.5792319999998</v>
      </c>
    </row>
    <row r="9" spans="1:36">
      <c r="E9" s="14" t="s">
        <v>44</v>
      </c>
      <c r="F9">
        <v>1000</v>
      </c>
      <c r="G9" t="s">
        <v>19</v>
      </c>
      <c r="H9" s="12">
        <v>10.1</v>
      </c>
      <c r="I9">
        <v>1415</v>
      </c>
      <c r="J9">
        <v>2</v>
      </c>
      <c r="K9">
        <v>4</v>
      </c>
      <c r="L9">
        <v>18</v>
      </c>
      <c r="N9">
        <v>6</v>
      </c>
      <c r="O9">
        <v>60</v>
      </c>
      <c r="R9" s="10">
        <f t="shared" si="9"/>
        <v>1415</v>
      </c>
      <c r="S9" s="9">
        <f>Template!J9</f>
        <v>2</v>
      </c>
      <c r="T9" s="8">
        <v>0.01</v>
      </c>
      <c r="U9" s="7">
        <f t="shared" ref="U9:U10" si="10">S9*T9</f>
        <v>0.02</v>
      </c>
      <c r="V9" s="6">
        <f t="shared" ref="V9:V10" si="11">U9*R9</f>
        <v>28.3</v>
      </c>
      <c r="W9" s="5">
        <f t="shared" ref="W9:W10" si="12">R9-V9</f>
        <v>1386.7</v>
      </c>
      <c r="Y9">
        <f>Template!K9</f>
        <v>4</v>
      </c>
      <c r="Z9" s="3">
        <v>0.01</v>
      </c>
      <c r="AA9">
        <f t="shared" ref="AA9:AA10" si="13">Y9*Z9</f>
        <v>0.04</v>
      </c>
      <c r="AB9" s="2">
        <f t="shared" ref="AB9:AB10" si="14">AA9*W9</f>
        <v>55.468000000000004</v>
      </c>
      <c r="AC9" s="4">
        <f t="shared" ref="AC9:AC10" si="15">AB9+W9</f>
        <v>1442.1680000000001</v>
      </c>
      <c r="AE9">
        <f>Template!L9</f>
        <v>18</v>
      </c>
      <c r="AF9" s="3">
        <v>0.01</v>
      </c>
      <c r="AG9">
        <f t="shared" ref="AG9:AG10" si="16">AE9*AF9</f>
        <v>0.18</v>
      </c>
      <c r="AH9" s="2">
        <f t="shared" ref="AH9:AH10" si="17">AG9*AC9</f>
        <v>259.59023999999999</v>
      </c>
      <c r="AJ9" s="1">
        <f t="shared" ref="AJ9:AJ10" si="18">AH9+AC9</f>
        <v>1701.7582400000001</v>
      </c>
    </row>
    <row r="10" spans="1:36">
      <c r="E10" s="14" t="s">
        <v>45</v>
      </c>
      <c r="F10">
        <v>1000</v>
      </c>
      <c r="G10" t="s">
        <v>19</v>
      </c>
      <c r="H10" s="12">
        <v>14.5</v>
      </c>
      <c r="I10">
        <v>2121</v>
      </c>
      <c r="J10">
        <v>2</v>
      </c>
      <c r="K10">
        <v>4</v>
      </c>
      <c r="L10">
        <v>18</v>
      </c>
      <c r="N10">
        <v>6</v>
      </c>
      <c r="O10">
        <v>60</v>
      </c>
      <c r="R10" s="10">
        <f t="shared" si="9"/>
        <v>2121</v>
      </c>
      <c r="S10" s="9">
        <f>Template!J10</f>
        <v>2</v>
      </c>
      <c r="T10" s="8">
        <v>0.01</v>
      </c>
      <c r="U10" s="7">
        <f t="shared" si="10"/>
        <v>0.02</v>
      </c>
      <c r="V10" s="6">
        <f t="shared" si="11"/>
        <v>42.42</v>
      </c>
      <c r="W10" s="5">
        <f t="shared" si="12"/>
        <v>2078.58</v>
      </c>
      <c r="Y10">
        <f>Template!K10</f>
        <v>4</v>
      </c>
      <c r="Z10" s="3">
        <v>0.01</v>
      </c>
      <c r="AA10">
        <f t="shared" si="13"/>
        <v>0.04</v>
      </c>
      <c r="AB10" s="2">
        <f t="shared" si="14"/>
        <v>83.143199999999993</v>
      </c>
      <c r="AC10" s="4">
        <f t="shared" si="15"/>
        <v>2161.7231999999999</v>
      </c>
      <c r="AE10">
        <f>Template!L10</f>
        <v>18</v>
      </c>
      <c r="AF10" s="3">
        <v>0.01</v>
      </c>
      <c r="AG10">
        <f t="shared" si="16"/>
        <v>0.18</v>
      </c>
      <c r="AH10" s="2">
        <f t="shared" si="17"/>
        <v>389.11017599999997</v>
      </c>
      <c r="AJ10" s="1">
        <f t="shared" si="18"/>
        <v>2550.833376</v>
      </c>
    </row>
    <row r="11" spans="1:36">
      <c r="E11" s="14" t="s">
        <v>46</v>
      </c>
      <c r="F11">
        <v>1000</v>
      </c>
      <c r="G11" t="s">
        <v>19</v>
      </c>
      <c r="H11" s="12">
        <v>17.899999999999999</v>
      </c>
      <c r="I11">
        <v>2667</v>
      </c>
      <c r="J11">
        <v>2</v>
      </c>
      <c r="K11">
        <v>4</v>
      </c>
      <c r="L11">
        <v>18</v>
      </c>
      <c r="N11">
        <v>6</v>
      </c>
      <c r="O11">
        <v>60</v>
      </c>
      <c r="R11" s="10">
        <f t="shared" ref="R11:R12" si="19">I11</f>
        <v>2667</v>
      </c>
      <c r="S11" s="9">
        <f>Template!J11</f>
        <v>2</v>
      </c>
      <c r="T11" s="8">
        <v>0.01</v>
      </c>
      <c r="U11" s="7">
        <f t="shared" ref="U11:U12" si="20">S11*T11</f>
        <v>0.02</v>
      </c>
      <c r="V11" s="6">
        <f t="shared" ref="V11:V12" si="21">U11*R11</f>
        <v>53.34</v>
      </c>
      <c r="W11" s="5">
        <f t="shared" ref="W11:W12" si="22">R11-V11</f>
        <v>2613.66</v>
      </c>
      <c r="Y11">
        <f>Template!K11</f>
        <v>4</v>
      </c>
      <c r="Z11" s="3">
        <v>0.01</v>
      </c>
      <c r="AA11">
        <f t="shared" ref="AA11:AA12" si="23">Y11*Z11</f>
        <v>0.04</v>
      </c>
      <c r="AB11" s="2">
        <f t="shared" ref="AB11:AB12" si="24">AA11*W11</f>
        <v>104.54639999999999</v>
      </c>
      <c r="AC11" s="4">
        <f t="shared" ref="AC11:AC12" si="25">AB11+W11</f>
        <v>2718.2064</v>
      </c>
      <c r="AE11">
        <f>Template!L11</f>
        <v>18</v>
      </c>
      <c r="AF11" s="3">
        <v>0.01</v>
      </c>
      <c r="AG11">
        <f t="shared" ref="AG11:AG12" si="26">AE11*AF11</f>
        <v>0.18</v>
      </c>
      <c r="AH11" s="2">
        <f t="shared" ref="AH11:AH12" si="27">AG11*AC11</f>
        <v>489.277152</v>
      </c>
      <c r="AJ11" s="1">
        <f t="shared" ref="AJ11:AJ12" si="28">AH11+AC11</f>
        <v>3207.4835520000001</v>
      </c>
    </row>
    <row r="12" spans="1:36">
      <c r="E12" s="14" t="s">
        <v>47</v>
      </c>
      <c r="F12">
        <v>1000</v>
      </c>
      <c r="G12" t="s">
        <v>19</v>
      </c>
      <c r="H12" s="12">
        <v>21.2</v>
      </c>
      <c r="I12">
        <v>3076</v>
      </c>
      <c r="J12">
        <v>2</v>
      </c>
      <c r="K12">
        <v>4</v>
      </c>
      <c r="L12">
        <v>18</v>
      </c>
      <c r="N12">
        <v>6</v>
      </c>
      <c r="O12">
        <v>60</v>
      </c>
      <c r="R12" s="10">
        <f t="shared" si="19"/>
        <v>3076</v>
      </c>
      <c r="S12" s="9">
        <f>Template!J12</f>
        <v>2</v>
      </c>
      <c r="T12" s="8">
        <v>0.01</v>
      </c>
      <c r="U12" s="7">
        <f t="shared" si="20"/>
        <v>0.02</v>
      </c>
      <c r="V12" s="6">
        <f t="shared" si="21"/>
        <v>61.52</v>
      </c>
      <c r="W12" s="5">
        <f t="shared" si="22"/>
        <v>3014.48</v>
      </c>
      <c r="Y12">
        <f>Template!K12</f>
        <v>4</v>
      </c>
      <c r="Z12" s="3">
        <v>0.01</v>
      </c>
      <c r="AA12">
        <f t="shared" si="23"/>
        <v>0.04</v>
      </c>
      <c r="AB12" s="2">
        <f t="shared" si="24"/>
        <v>120.5792</v>
      </c>
      <c r="AC12" s="4">
        <f t="shared" si="25"/>
        <v>3135.0592000000001</v>
      </c>
      <c r="AE12">
        <f>Template!L12</f>
        <v>18</v>
      </c>
      <c r="AF12" s="3">
        <v>0.01</v>
      </c>
      <c r="AG12">
        <f t="shared" si="26"/>
        <v>0.18</v>
      </c>
      <c r="AH12" s="2">
        <f t="shared" si="27"/>
        <v>564.31065599999999</v>
      </c>
      <c r="AJ12" s="1">
        <f t="shared" si="28"/>
        <v>3699.3698560000003</v>
      </c>
    </row>
  </sheetData>
  <pageMargins left="0.7" right="0.7" top="0.75" bottom="0.75" header="0.3" footer="0.3"/>
  <ignoredErrors>
    <ignoredError sqref="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2026-06-12T11:25:08Z</dcterms:modified>
</cp:coreProperties>
</file>